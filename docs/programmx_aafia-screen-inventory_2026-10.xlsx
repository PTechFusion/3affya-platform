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creens" sheetId="2" state="visible" r:id="rId4"/>
    <sheet name="Rules" sheetId="3" state="visible" r:id="rId5"/>
  </sheets>
  <definedNames>
    <definedName function="false" hidden="true" localSheetId="2" name="_xlnm._FilterDatabase" vbProcedure="false">Rules!$A$1:$H$157</definedName>
    <definedName function="false" hidden="true" localSheetId="1" name="_xlnm._FilterDatabase" vbProcedure="false">Screens!$A$1:$N$51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<sst xmlns="http://schemas.openxmlformats.org/spreadsheetml/2006/main" count="1940" uniqueCount="1343">
  <si>
    <t xml:space="preserve">3affya screen inventory</t>
  </si>
  <si>
    <t xml:space="preserve">Draft 2, 19 Oct 2026. Draft 1 listed the screens from project notes section 6 and the tasks file. Draft 2 adds column L (Design pointers) and M (Rule refs) from the 19 Oct research, and N (Layout call: the stack top to bottom, above the fold, the hook; one judgement per screen); rule IDs are on the Rules sheet and in programmx_aafia-screen-rules_2026-10.pdf. Update the Status column (J) as you build; this sheet counts it.</t>
  </si>
  <si>
    <t xml:space="preserve">By area</t>
  </si>
  <si>
    <t xml:space="preserve">Screens</t>
  </si>
  <si>
    <t xml:space="preserve">In prototype</t>
  </si>
  <si>
    <t xml:space="preserve">Public</t>
  </si>
  <si>
    <t xml:space="preserve">Patient</t>
  </si>
  <si>
    <t xml:space="preserve">Professional</t>
  </si>
  <si>
    <t xml:space="preserve">Admin</t>
  </si>
  <si>
    <t xml:space="preserve">Supporting</t>
  </si>
  <si>
    <t xml:space="preserve">Total</t>
  </si>
  <si>
    <t xml:space="preserve">By status</t>
  </si>
  <si>
    <t xml:space="preserve">Not started</t>
  </si>
  <si>
    <t xml:space="preserve">Designing</t>
  </si>
  <si>
    <t xml:space="preserve">Approved</t>
  </si>
  <si>
    <t xml:space="preserve">Building</t>
  </si>
  <si>
    <t xml:space="preserve">Built</t>
  </si>
  <si>
    <t xml:space="preserve">Tested</t>
  </si>
  <si>
    <t xml:space="preserve">By build milestone</t>
  </si>
  <si>
    <t xml:space="preserve">M1 (19 to 23 Oct)</t>
  </si>
  <si>
    <t xml:space="preserve">M2 (26 Oct to 13 Nov)</t>
  </si>
  <si>
    <t xml:space="preserve">M3 (9 to 27 Nov)</t>
  </si>
  <si>
    <t xml:space="preserve">M4 (30 Nov to 4 Dec)</t>
  </si>
  <si>
    <t xml:space="preserve">January batch</t>
  </si>
  <si>
    <t xml:space="preserve">Note: Introduction inbox counts under M2 (placeholder) and is finished in M3; email templates count under M2.</t>
  </si>
  <si>
    <t xml:space="preserve">Rules by evidence type</t>
  </si>
  <si>
    <t xml:space="preserve">Rules</t>
  </si>
  <si>
    <t xml:space="preserve">research</t>
  </si>
  <si>
    <t xml:space="preserve">guideline</t>
  </si>
  <si>
    <t xml:space="preserve">practitioner</t>
  </si>
  <si>
    <t xml:space="preserve">law</t>
  </si>
  <si>
    <t xml:space="preserve">Legend</t>
  </si>
  <si>
    <t xml:space="preserve">Edit only the Status column (J) on the Screens sheet; everything else is the plan. Row colours mark the area. Type colours on the Rules sheet: research (aqua), guideline (blue), practitioner (sand), law (gold, verify with counsel).</t>
  </si>
  <si>
    <t xml:space="preserve">#</t>
  </si>
  <si>
    <t xml:space="preserve">Area</t>
  </si>
  <si>
    <t xml:space="preserve">Screen</t>
  </si>
  <si>
    <t xml:space="preserve">Purpose</t>
  </si>
  <si>
    <t xml:space="preserve">States to design</t>
  </si>
  <si>
    <t xml:space="preserve">Data shown</t>
  </si>
  <si>
    <t xml:space="preserve">In prototype (23 Oct)</t>
  </si>
  <si>
    <t xml:space="preserve">Real build</t>
  </si>
  <si>
    <t xml:space="preserve">Task ref</t>
  </si>
  <si>
    <t xml:space="preserve">Status</t>
  </si>
  <si>
    <t xml:space="preserve">Notes</t>
  </si>
  <si>
    <t xml:space="preserve">Design pointers (19 Oct research)</t>
  </si>
  <si>
    <t xml:space="preserve">Rule refs</t>
  </si>
  <si>
    <t xml:space="preserve">Layout call (judgement, phone first)</t>
  </si>
  <si>
    <t xml:space="preserve">Home</t>
  </si>
  <si>
    <t xml:space="preserve">Land, search, trust</t>
  </si>
  <si>
    <t xml:space="preserve">Default; search typed; intake chat open</t>
  </si>
  <si>
    <t xml:space="preserve">Hero copy, search box, specialty chips, 1 to 2 verified doctors, 3 steps</t>
  </si>
  <si>
    <t xml:space="preserve">Yes</t>
  </si>
  <si>
    <t xml:space="preserve">M2</t>
  </si>
  <si>
    <t xml:space="preserve">1.6, 2.1</t>
  </si>
  <si>
    <t xml:space="preserve">Lagoon hero per approved board; featured carousel moves to January</t>
  </si>
  <si>
    <t xml:space="preserve">1. First screenful: tagline that names the buyer (US-trained, Arabic-speaking doctors for you), search box, one CTA. In Arabic the CTA and headline sit top-right.
2. Trust strip above any counts: Licence verified, US board certified (one-sentence definition on first appearance), price from X. Lead with US training.
3. Real doctor photos only (no stock); conservative dress, both genders. Show counts only if large; otherwise show two verified doctors instead of a number.
4. Up to 4 visible nav links on mobile; language switch in the header as العربية / English with a globe, no flags.
5. One line: not for emergencies, with the viewer's local emergency number; a short how a US doctor can see you section or link (41.9% of Saudi users unclear on legality).
6. No false floor after the hero; LCP 2.5 s on mobile (compress photos, water effect must not block paint); content-shaped skeleton for the doctor strip.</t>
  </si>
  <si>
    <t xml:space="preserve">G2 H1 H2 H4 H5 H6 H7 H8 H10 H11 H12 H13 H14 H15 L1 R9</t>
  </si>
  <si>
    <t xml:space="preserve">Lagoon hero (approved board) with headline, one-line sub, search box with specialty autocomplete, four specialty chips. Then a trust strip (Licence verified, US board certified with tooltip, visit from USD X). Then two verified doctor cards, three steps, FAQ teaser, footer with address. Above the fold: headline, search, chips. Hook: the search box returns live suggestions as you type.</t>
  </si>
  <si>
    <t xml:space="preserve">Why US training</t>
  </si>
  <si>
    <t xml:space="preserve">Explain the value of US-trained doctors</t>
  </si>
  <si>
    <t xml:space="preserve">Default</t>
  </si>
  <si>
    <t xml:space="preserve">Copy from content document</t>
  </si>
  <si>
    <t xml:space="preserve">1.6</t>
  </si>
  <si>
    <t xml:space="preserve">1. Grade-6 copy, single column, main message in the first paragraph; front-load headings.
2. Link every credential claim to ABMS Certification Matters or the state board; define board certified; last-reviewed date at the bottom.
3. Use the medical-tourism fact (USA is Saudi's top destination) as the bridge; explain how the visit works legally in one paragraph.</t>
  </si>
  <si>
    <t xml:space="preserve">H3 H8 H13 H15 X1 X2 X3 X4</t>
  </si>
  <si>
    <t xml:space="preserve">Single column: title, one-paragraph answer, then three short sections (what US training means, how we verify, what it costs you), each with a link to the verifier. Sidebar on desktop holds the three-credential strip. Above the fold: the one-paragraph answer. Hook: a Check a doctor link into the directory.</t>
  </si>
  <si>
    <t xml:space="preserve">How it works</t>
  </si>
  <si>
    <t xml:space="preserve">Patient journey in 3 steps</t>
  </si>
  <si>
    <t xml:space="preserve">Steps, fees explained, visit types</t>
  </si>
  <si>
    <t xml:space="preserve">1. Three steps, two levels of detail at most, recommended path highlighted; make clear no account is needed to browse.
2. Explain fees as one all-in number plus what it includes; cancellation terms here too; video vs phone with a best-for line.
3. What to prepare for a visit (device test, private room, ID) and the not-for-emergencies line.</t>
  </si>
  <si>
    <t xml:space="preserve">C5 C12 F9 H14 P5 P10 X5 X6</t>
  </si>
  <si>
    <t xml:space="preserve">Three numbered steps as stacked cards (find, book, talk), each with one line and a small illustration; fees box under step 2; visit types under step 3; what to prepare as an accordion; CTA to search at the end and sticky on phone. Above the fold: step 1 and 2. Hook: fee example with the three lines filled in.</t>
  </si>
  <si>
    <t xml:space="preserve">Specialty directory</t>
  </si>
  <si>
    <t xml:space="preserve">Browse 104 groups</t>
  </si>
  <si>
    <t xml:space="preserve">Default; empty group</t>
  </si>
  <si>
    <t xml:space="preserve">104 groups, Arabic and English names, doctor counts</t>
  </si>
  <si>
    <t xml:space="preserve">2.1</t>
  </si>
  <si>
    <t xml:space="preserve">Counts show verified only</t>
  </si>
  <si>
    <t xml:space="preserve">1. Curated top specialties first with see all 104; names Arabic first with English in parentheses.
2. Counts per group (verified only); hide groups with zero bookable doctors from promotion rather than showing 0.
3. Grid is fine here (heterogeneous browse); in Arabic the first item is top-right.</t>
  </si>
  <si>
    <t xml:space="preserve">H6 R9 S10 S14 S16 S17 X7</t>
  </si>
  <si>
    <t xml:space="preserve">Six curated specialties as large tiles, then See all 104 expands an alphabetical two-column list grouped by body system, Arabic first with English small. Count badge on each. Above the fold: the six tiles and the search box. Hook: tiles show one doctor photo each.</t>
  </si>
  <si>
    <t xml:space="preserve">Search results</t>
  </si>
  <si>
    <t xml:space="preserve">Find a doctor by filters</t>
  </si>
  <si>
    <t xml:space="preserve">Results; empty; loading skeleton</t>
  </si>
  <si>
    <t xml:space="preserve">Filters: specialty, language, location, visit type, age group; DoctorCard list; pagination</t>
  </si>
  <si>
    <t xml:space="preserve">Verified only, featured first, 20 per page</t>
  </si>
  <si>
    <t xml:space="preserve">1. One doctor per row, same attribute set in the same order; key data at the reading-start corner.
2. Replace pagination with Load more (15 to 30 mobile, 25 to 75 desktop); filter state in the URL; restore scroll on Back.
3. Default sort Relevance, verified above unclaimed; any paid placement carries a Sponsored label on the card itself.
4. Add gender, price and next-available-72h to the filters; counts per option; mobile bottom sheet with Show N doctors; applied chips with Clear all; truncate long lists at 6 to 10.
5. Autocomplete capped at 10/8; transliteration and typo tolerance; symptom words map to specialties.
6. Zero results: relaxed scope, 3 to 5 alternatives, popular doctors, WhatsApp/contact; skeleton shaped like rows.</t>
  </si>
  <si>
    <t xml:space="preserve">A4 C1 C2 L1 L3 R9 S1 S2 S3 S4 S5 S6 S7 S8 S9 S10 S11 S12 S13 S14 U3</t>
  </si>
  <si>
    <t xml:space="preserve">Sticky top bar: query, Filters button with count, sort. Applied-filter chips row. One doctor per row: photo left (right in RTL), name and specialty, languages, next available, all-in price, Book. Load more after 20 on phone. Desktop: filters in a left column, list right. Above the fold: first two rows. Hook: next available slot on every row.</t>
  </si>
  <si>
    <t xml:space="preserve">Doctor profile: unclaimed</t>
  </si>
  <si>
    <t xml:space="preserve">Public registry listing</t>
  </si>
  <si>
    <t xml:space="preserve">Default; removal pending</t>
  </si>
  <si>
    <t xml:space="preserve">Name, specialty, city, medical school, graduation year, group, hospital; registry label; Invite; This is me</t>
  </si>
  <si>
    <t xml:space="preserve">2.2</t>
  </si>
  <si>
    <t xml:space="preserve">No fee, availability, checkout or contact (tested)</t>
  </si>
  <si>
    <t xml:space="preserve">1. Banner: Unclaimed, from public US records (source, date), not confirmed by the doctor. Facts only, no score or stars; neutral specialty placeholder photo.
2. Are you Dr X? Claim this profile, free (preview of what they can edit) plus This is not me / remove link.
3. No Book, no fee, no availability (as planned); offer Find a verified doctor in this specialty so the patient is not stranded.</t>
  </si>
  <si>
    <t xml:space="preserve">C3 S6 U1 U2 U3 U4 U5</t>
  </si>
  <si>
    <t xml:space="preserve">Grey Unclaimed banner with source and date at the top. Placeholder photo, name, specialty, city. Facts table (school, year, group, hospital). Then a teal panel: Are you Dr X? Claim this profile, free. Then Find a verified doctor in this specialty. Above the fold: banner, name, claim panel. Hook: claim panel shows the finished card they would get.</t>
  </si>
  <si>
    <t xml:space="preserve">Doctor profile: verified</t>
  </si>
  <si>
    <t xml:space="preserve">Book a first visit</t>
  </si>
  <si>
    <t xml:space="preserve">Default; no availability; payouts not ready (book hidden)</t>
  </si>
  <si>
    <t xml:space="preserve">Card front and back data, bio, training, languages, fees, visit types, ages, tags, availability preview, verified date, Book</t>
  </si>
  <si>
    <t xml:space="preserve">Book button needs Stripe Connect enabled (M3)</t>
  </si>
  <si>
    <t xml:space="preserve">1. Block order: card, credentials (board named, verified on date, link to verifier), fees and visit types, availability, bio. Define board certified on first use.
2. All-in price and next available above the fold; sticky Book on mobile; Accepting new patients state.
3. No reviews at launch: show years in practice and training as the trust signal and a New to 3affya label; no scarcity tricks.
4. Video vs phone with a best-for line (see Q1 for Saudi); cancellation terms near Book; English bio stays left-aligned inside the Arabic page.</t>
  </si>
  <si>
    <t xml:space="preserve">C5 C6 C7 C8 C9 C10 C11 C12 H8 P5 R4 X3</t>
  </si>
  <si>
    <t xml:space="preserve">Card front as the header (photo, names, specialty, city, verified badge with date). Then fee and next three slots with a sticky Book bar on phone. Then credentials and training, languages and visit types, bio, availability preview. Desktop: card and booking box pinned right, content left. Above the fold: card, fee, next slots. Hook: tap the card to flip to the back.</t>
  </si>
  <si>
    <t xml:space="preserve">Intake chat</t>
  </si>
  <si>
    <t xml:space="preserve">Suggest a specialty, prefill introduction request</t>
  </si>
  <si>
    <t xml:space="preserve">Consent; questions; result; fallback form; model error</t>
  </si>
  <si>
    <t xml:space="preserve">Concern, age group, language, visit type; 1 to 3 suggested specialties with doctors</t>
  </si>
  <si>
    <t xml:space="preserve">Yes (static)</t>
  </si>
  <si>
    <t xml:space="preserve">M3</t>
  </si>
  <si>
    <t xml:space="preserve">3.12</t>
  </si>
  <si>
    <t xml:space="preserve">Light version of agent 12; no medical advice</t>
  </si>
  <si>
    <t xml:space="preserve">1. Opening message: AI assistant, not a doctor, not a diagnosis, what it can do, local emergency number, Talk to a human always visible.
2. Quick replies for concern, age group, language, visit type; no date of birth or card in chat; back and I did not understand supported.
3. Output is 1 to 3 specialties with doctors, never a diagnosis or triage level; red-flag keywords end intake with emergency guidance.
4. Consent line before the first question; typing indicator under 1 s, step text if a reply takes longer.</t>
  </si>
  <si>
    <t xml:space="preserve">H14 I1 I2 I3 I4 I5 L1 Q6 T3</t>
  </si>
  <si>
    <t xml:space="preserve">Full-height sheet over the page on phone, right-side panel on desktop. Bot message with scope, emergency line and Talk to a human pinned at the top. Quick-reply chips under each question; free-text box at the bottom. Result: three specialty cards each with two doctors. Above the fold: first question and chips. Hook: the result cards link straight to filtered search.</t>
  </si>
  <si>
    <t xml:space="preserve">Claim invite landing</t>
  </si>
  <si>
    <t xml:space="preserve">Doctor opens invite link</t>
  </si>
  <si>
    <t xml:space="preserve">Valid token; expired; used; forged</t>
  </si>
  <si>
    <t xml:space="preserve">Pre-filled name and specialty; OTP sign-up; request new invite</t>
  </si>
  <si>
    <t xml:space="preserve">2.3</t>
  </si>
  <si>
    <t xml:space="preserve">Rate limited 10 per IP per hour</t>
  </si>
  <si>
    <t xml:space="preserve">1. Show the pre-built profile first (name, specialty from registry), then OTP; promise you can always edit this; checklist starts partly filled.
2. OTP single field, numeric keyboard, paste works; Open Gmail link; rate-limit, do not reveal whether the email exists.
3. Visible This is not me; one line that claiming means patients will see you, so keep availability current.</t>
  </si>
  <si>
    <t xml:space="preserve">B1 B3 F6 F7 U4 U5 U6 W4</t>
  </si>
  <si>
    <t xml:space="preserve">Centred single column: the pre-built card at the top (name, specialty from registry), one sentence of what claiming gives, email field pre-filled, Send code button, then the six-digit field. Expired or used token shows the same card with Request a new link. Above the fold: card and email field. Hook: the card is already theirs.</t>
  </si>
  <si>
    <t xml:space="preserve">This is me / remove me</t>
  </si>
  <si>
    <t xml:space="preserve">Doctor asks for removal or claims</t>
  </si>
  <si>
    <t xml:space="preserve">Form; submitted</t>
  </si>
  <si>
    <t xml:space="preserve">Name, NPI, email, reason</t>
  </si>
  <si>
    <t xml:space="preserve">2.2, 2.8</t>
  </si>
  <si>
    <t xml:space="preserve">48 hour admin SLA</t>
  </si>
  <si>
    <t xml:space="preserve">1. Four fields, labels above, specific errors; NPI field LTR numeric.
2. Submitted state names the 48-hour SLA and what happens next (410 within 48 hours).</t>
  </si>
  <si>
    <t xml:space="preserve">A3 F1 F2 F5 U4</t>
  </si>
  <si>
    <t xml:space="preserve">Short centred form: two radio choices (This is me, Remove me) that change the copy, then name, NPI, email, reason. Submitted state: what happens and the 48-hour promise. Above the fold: the whole form. Hook: none needed; keep it under one screen.</t>
  </si>
  <si>
    <t xml:space="preserve">AI tools (coming soon)</t>
  </si>
  <si>
    <t xml:space="preserve">Tease agents 2 to 11</t>
  </si>
  <si>
    <t xml:space="preserve">Agent names and one line each</t>
  </si>
  <si>
    <t xml:space="preserve">No pricing shown</t>
  </si>
  <si>
    <t xml:space="preserve">1. One plain line per agent, front-loaded; no pricing.
2. Say every AI output will be labelled and reviewed; not a diagnosis.</t>
  </si>
  <si>
    <t xml:space="preserve">H3 T4 T5 X1</t>
  </si>
  <si>
    <t xml:space="preserve">Title, one line of intent, then a two-column list of ten agents with name and one line each, muted style. One CTA: Tell me when these launch (email). Above the fold: title and first four. Hook: the notify field.</t>
  </si>
  <si>
    <t xml:space="preserve">For professionals</t>
  </si>
  <si>
    <t xml:space="preserve">Explain membership and claim flow</t>
  </si>
  <si>
    <t xml:space="preserve">Membership tiers (prices from Q8), banner add-on, how claiming works</t>
  </si>
  <si>
    <t xml:space="preserve">Prices placeholder until 7 Nov</t>
  </si>
  <si>
    <t xml:space="preserve">1. Three tiers, at most four differing attributes, all-in price and billing period, static comparison table (prices placeholder until 7 Nov).
2. Sell on numbers: live availability (half of new patients book within 72 h), photo (2x views); show the practice card as the reward.
3. How claiming works: free, from your registry profile, only verifiable fields required; note that patients will scrutinise a claimed profile.</t>
  </si>
  <si>
    <t xml:space="preserve">B2 B4 B8 B9 C5 U5 U6</t>
  </si>
  <si>
    <t xml:space="preserve">Hero line for doctors, then the practice card shown large as the reward, then three steps (claim, verify, go live), then a three-column tier table (stacked on phone, middle tier highlighted), then FAQ for doctors. Above the fold: hero and card. Hook: Find your profile search box in the hero.</t>
  </si>
  <si>
    <t xml:space="preserve">FAQ</t>
  </si>
  <si>
    <t xml:space="preserve">Common questions</t>
  </si>
  <si>
    <t xml:space="preserve">Q and A from content document</t>
  </si>
  <si>
    <t xml:space="preserve">1. Grade-6 answers, accordion, two levels; include How can a US doctor see me? and What this visit cannot do.
2. Fees, refunds and how records are processed (AI consent, where stored) answered here too.
3. Last-reviewed date.</t>
  </si>
  <si>
    <t xml:space="preserve">C5 H15 P5 T3 X1 X4 X5</t>
  </si>
  <si>
    <t xml:space="preserve">Search-within-FAQ field, then grouped accordions (For patients, Fees and refunds, Records and AI, For doctors). Each answer under six lines. Last-reviewed date at the bottom. Above the fold: search field and first group. Hook: the search field.</t>
  </si>
  <si>
    <t xml:space="preserve">About</t>
  </si>
  <si>
    <t xml:space="preserve">Who 3affya is</t>
  </si>
  <si>
    <t xml:space="preserve">1. Operating entity, address, contact; real team and doctor photos.
2. Last-reviewed date; link to how verification works.</t>
  </si>
  <si>
    <t xml:space="preserve">G2 H4 H9 X3 X4</t>
  </si>
  <si>
    <t xml:space="preserve">Single column: who 3affya is in two paragraphs, Dr Ayman photo and one-line bio, how verification works, entity and address, contact. Above the fold: the two paragraphs and photo. Hook: the verification explainer link.</t>
  </si>
  <si>
    <t xml:space="preserve">Contact</t>
  </si>
  <si>
    <t xml:space="preserve">Reach 3affya</t>
  </si>
  <si>
    <t xml:space="preserve">Form; sent</t>
  </si>
  <si>
    <t xml:space="preserve">Name, email, message</t>
  </si>
  <si>
    <t xml:space="preserve">Sends via Resend</t>
  </si>
  <si>
    <t xml:space="preserve">1. WhatsApp click-to-chat first, then email form; address shown.
2. Labels above, specific errors; sent state says when to expect a reply.</t>
  </si>
  <si>
    <t xml:space="preserve">F1 F5 G3 H9 L4</t>
  </si>
  <si>
    <t xml:space="preserve">Two stacked choices: WhatsApp button first, then the three-field email form. Address and hours under it. Above the fold: both choices. Hook: WhatsApp opens with a pre-filled greeting.</t>
  </si>
  <si>
    <t xml:space="preserve">Legal pages (4)</t>
  </si>
  <si>
    <t xml:space="preserve">Privacy, terms, fees, refunds</t>
  </si>
  <si>
    <t xml:space="preserve">Legal copy for Dr Ayman's lawyer</t>
  </si>
  <si>
    <t xml:space="preserve">M4</t>
  </si>
  <si>
    <t xml:space="preserve">1.6, 4.3</t>
  </si>
  <si>
    <t xml:space="preserve">One template, four pages, both languages</t>
  </si>
  <si>
    <t xml:space="preserve">1. Privacy page doubles as the Notice of Privacy Practices: prominent, plain language, effective date, complaints contact.
2. Counsel must settle: cross-border consult framing (Saudi supervision and video rule), UAE data residency, retention and deletion wording.
3. Fees and refunds page: the three lines, capture in full, refund not void, written estimate kept in the portal.</t>
  </si>
  <si>
    <t xml:space="preserve">P5 P15 Q1 Q2 Q3 Q4 T8 T9 X4</t>
  </si>
  <si>
    <t xml:space="preserve">One template: title, effective date, a four-line plain summary box at the top, then numbered sections with a sticky in-page contents on desktop. Above the fold: the summary box. Hook: the summary box.</t>
  </si>
  <si>
    <t xml:space="preserve">404 and 410</t>
  </si>
  <si>
    <t xml:space="preserve">Missing or removed pages</t>
  </si>
  <si>
    <t xml:space="preserve">404; 410 removed profile</t>
  </si>
  <si>
    <t xml:space="preserve">Message, search box</t>
  </si>
  <si>
    <t xml:space="preserve">410 for removed doctors</t>
  </si>
  <si>
    <t xml:space="preserve">1. Search box plus popular specialties and a contact path; 410 explains the doctor was removed at their request and offers the specialty search.</t>
  </si>
  <si>
    <t xml:space="preserve">L4 S6</t>
  </si>
  <si>
    <t xml:space="preserve">Centred: short message, search box, four specialty chips, contact link. 410 adds one line that the doctor asked to be removed. Above the fold: everything.</t>
  </si>
  <si>
    <t xml:space="preserve">Sign up and login</t>
  </si>
  <si>
    <t xml:space="preserve">OTP by email</t>
  </si>
  <si>
    <t xml:space="preserve">Enter email; enter code; error; rate limited</t>
  </si>
  <si>
    <t xml:space="preserve">Email, 6 digit code</t>
  </si>
  <si>
    <t xml:space="preserve">3.6</t>
  </si>
  <si>
    <t xml:space="preserve">1. One OTP field, inputmode numeric, autocomplete one-time-code, paste works, 16 px input; email keyboard, autocorrect off.
2. Open Gmail link; sign-in asked only at booking or upload, never to browse.
3. Rate-limited state says when to retry; errors in text next to the field.</t>
  </si>
  <si>
    <t xml:space="preserve">F5 F6 F7 F8 F9 L4 W4</t>
  </si>
  <si>
    <t xml:space="preserve">Centred card: one email field and Continue; second step replaces it with one six-digit field, Open Gmail link, resend timer. Why we ask line under the field. Above the fold: the whole card.</t>
  </si>
  <si>
    <t xml:space="preserve">Slot picker</t>
  </si>
  <si>
    <t xml:space="preserve">Choose a time in the patient's timezone</t>
  </si>
  <si>
    <t xml:space="preserve">Slots; no slots this week; hold started</t>
  </si>
  <si>
    <t xml:space="preserve">Doctor card, calendar, slots converted to viewer timezone, visit type</t>
  </si>
  <si>
    <t xml:space="preserve">3.2</t>
  </si>
  <si>
    <t xml:space="preserve">DST tests across Riyadh, Dubai, London</t>
  </si>
  <si>
    <t xml:space="preserve">1. Patient zone named on every slot, doctor time secondary; Western digits forced; weekends shaded per the patient's country.
2. 48 px slot buttons; hold starts within 400 ms; calendar chevrons mirrored in RTL, clock icon not.
3. Ask visit reason, age group and for whom before the hold; visit type choice with best-for line.
4. No slots this week: show next available week and a Request a time path, never an empty grid.</t>
  </si>
  <si>
    <t xml:space="preserve">C12 L2 L3 N1 P6 P7 P8 R2 S6 W2</t>
  </si>
  <si>
    <t xml:space="preserve">Mini doctor card at the top, visit-type segmented control, week strip (swipe), slot grid of 48 px buttons in the patient zone with the zone named, doctor time in small text on the selected slot. Reason, age group and for whom appear after a slot is picked. Sticky Continue. Above the fold: card, visit type, this week's slots. Hook: the next available slot is pre-highlighted.</t>
  </si>
  <si>
    <t xml:space="preserve">Checkout</t>
  </si>
  <si>
    <t xml:space="preserve">Pay for the first visit</t>
  </si>
  <si>
    <t xml:space="preserve">Hold timer running; hold expired; payment failed; success</t>
  </si>
  <si>
    <t xml:space="preserve">Doctor fee, platform fee, card processing as 3 lines; total; Stripe element</t>
  </si>
  <si>
    <t xml:space="preserve">3.2, 3.3</t>
  </si>
  <si>
    <t xml:space="preserve">10 minute hold; lines sum to intent to the cent</t>
  </si>
  <si>
    <t xml:space="preserve">1. Three lines sum to the total, nothing new; Review with edit links, then a distinct Confirmation.
2. Card fields in a bordered box with Secured by Stripe; Apple Pay and Google Pay first; expiry MM / YY; capture in full; keep details after an error.
3. Cancellation terms and telehealth consent on this step; confidentiality line in plain Arabic.
4. Local currency, three decimals for KWD/OMR/BHD, Western digits, currency sign part of the number.
5. Backup phone and country; no re-asking of data from the slot picker.
6. Hold timer visible; paying state shows steps, never a blank spinner.</t>
  </si>
  <si>
    <t xml:space="preserve">C5 F2 F10 L1 N1 N2 P1 P2 P3 P4 P5 P9 P12 P13 P14 T11 T12</t>
  </si>
  <si>
    <t xml:space="preserve">Single page, two blocks: Review (doctor, time in both zones, visit type, edit links) and Pay (three lines and total, then the card box with Apple Pay and Google Pay buttons above the card fields). Consent and cancellation checkboxes between the blocks. Hold timer in the sticky header. Confirmation is a separate page. Above the fold: review block and total. Hook: the hold timer.</t>
  </si>
  <si>
    <t xml:space="preserve">Booking confirmation</t>
  </si>
  <si>
    <t xml:space="preserve">Show what was booked</t>
  </si>
  <si>
    <t xml:space="preserve">Time in both timezones, video link, .ics, receipt link, share records prompt</t>
  </si>
  <si>
    <t xml:space="preserve">3.3</t>
  </si>
  <si>
    <t xml:space="preserve">1. Peak-end: both times with zones, join link, add to calendar, what to prepare, how to change, expected lead time.
2. One-tap device check link; not-for-emergencies line with local number.
3. Share records prompt explains AI consent and who will see them.</t>
  </si>
  <si>
    <t xml:space="preserve">G4 H14 P6 P10 T3 T7</t>
  </si>
  <si>
    <t xml:space="preserve">Green check and one line, then the appointment card (time in both zones, join link), Add to calendar, then a three-item prepare checklist with Test your device, then Share records prompt, then receipt link. Above the fold: card and calendar button. Hook: Test your device.</t>
  </si>
  <si>
    <t xml:space="preserve">Bookings list</t>
  </si>
  <si>
    <t xml:space="preserve">See past and upcoming visits</t>
  </si>
  <si>
    <t xml:space="preserve">List; empty</t>
  </si>
  <si>
    <t xml:space="preserve">Status (upcoming, done, cancelled, refunded), doctor, time</t>
  </si>
  <si>
    <t xml:space="preserve">1. Empty state: what it is, why empty, Find a doctor action; view is the primary action.
2. Times in the patient zone; cancel uses outcome-named buttons (Cancel booking / Keep booking).</t>
  </si>
  <si>
    <t xml:space="preserve">B10 L3 P6 T1</t>
  </si>
  <si>
    <t xml:space="preserve">Tabs Upcoming and Past. Each row: doctor photo, date and time in the patient zone, status chip, Join or View. Empty state with Find a doctor. Above the fold: next visit as a larger card, then the list.</t>
  </si>
  <si>
    <t xml:space="preserve">Receipts</t>
  </si>
  <si>
    <t xml:space="preserve">Itemised receipts</t>
  </si>
  <si>
    <t xml:space="preserve">List; detail; refund line</t>
  </si>
  <si>
    <t xml:space="preserve">Lines, totals, refund entries</t>
  </si>
  <si>
    <t xml:space="preserve">1. Total prominent, three lines, last 4 digits, both times, refund entries; written estimate retained; local currency.</t>
  </si>
  <si>
    <t xml:space="preserve">E3 P14 P15</t>
  </si>
  <si>
    <t xml:space="preserve">List of rows (date, doctor, total, status). Detail: total large, the three lines, refund entries below, download PDF. Above the fold: the list.</t>
  </si>
  <si>
    <t xml:space="preserve">Records upload</t>
  </si>
  <si>
    <t xml:space="preserve">Upload files, get a quote</t>
  </si>
  <si>
    <t xml:space="preserve">Dropzone; validating; rejected files listed; quote; consent; paying</t>
  </si>
  <si>
    <t xml:space="preserve">Files, accepted size, pages, quote in 1 GB blocks (USD 9.99 each), consent checkbox</t>
  </si>
  <si>
    <t xml:space="preserve">3.7</t>
  </si>
  <si>
    <t xml:space="preserve">Nothing processes before payment</t>
  </si>
  <si>
    <t xml:space="preserve">1. Separate AI-processing consent checkbox with a where your data is stored line; UAE residency to be settled (Q3).
2. Phone photos first (camera button), formats and size visible, per-file success or specific rejection reason.
3. Quote shown as one all-in number before consent; nothing processes before payment (as planned).</t>
  </si>
  <si>
    <t xml:space="preserve">C5 F8 L4 P1 Q3 T3 T10</t>
  </si>
  <si>
    <t xml:space="preserve">Dropzone with a camera button first on phone. Below it the file list with per-file status. Then the quote box (files, pages, total). Then the two consent checkboxes (privacy, AI processing with the where-stored line) and Pay. Above the fold: dropzone and file list. Hook: the quote updates as files land.</t>
  </si>
  <si>
    <t xml:space="preserve">Records processing</t>
  </si>
  <si>
    <t xml:space="preserve">Show progress</t>
  </si>
  <si>
    <t xml:space="preserve">Queued; per page progress; failed with reason; done</t>
  </si>
  <si>
    <t xml:space="preserve">File list, pages done of total, cost so far</t>
  </si>
  <si>
    <t xml:space="preserve">3.8</t>
  </si>
  <si>
    <t xml:space="preserve">Standing rule: never a blank wait</t>
  </si>
  <si>
    <t xml:space="preserve">1. Live step list with page counts and cost so far; estimate and cancel when over 10 s; no fake percentage.
2. Failed state names the reason and the fix (re-upload page 4).</t>
  </si>
  <si>
    <t xml:space="preserve">L1 L3 L4 T11</t>
  </si>
  <si>
    <t xml:space="preserve">One card: overall status line, then a step list with the current step live (page 4 of 12), cost so far, estimate, Cancel. Below: what you will get, as three lines. Above the fold: everything. Hook: the step list moving.</t>
  </si>
  <si>
    <t xml:space="preserve">Summary and timeline</t>
  </si>
  <si>
    <t xml:space="preserve">Read the one page summary</t>
  </si>
  <si>
    <t xml:space="preserve">Overview; timeline; flags; source page open</t>
  </si>
  <si>
    <t xml:space="preserve">Diagnoses, procedures, medications, allergies, results with page links; missing and conflict flags; unreadable flags</t>
  </si>
  <si>
    <t xml:space="preserve">3.9, 3.10</t>
  </si>
  <si>
    <t xml:space="preserve">1. AI-generated label at the top, Reviewed by Dr X or Not yet reviewed, Talk to a human; not-a-diagnosis in the body.
2. Release immediately with a framing line; every statement links to its source page; explain each number; something missing? link.
3. Timeline numerals LTR with mirrored axis in Arabic; download is a primary action.</t>
  </si>
  <si>
    <t xml:space="preserve">Q6 R11 T1 T2 T4 T5 T6 X1</t>
  </si>
  <si>
    <t xml:space="preserve">AI-generated label and reviewed state at the top, Talk to a human beside it. Tabs Overview, Timeline, Flags. Overview: five blocks (diagnoses, procedures, medications, allergies, results), each item with a source-page link opening a side viewer (sheet on phone). Timeline is vertical on phone. Above the fold: label and first two blocks. Hook: tap any item to see the source page.</t>
  </si>
  <si>
    <t xml:space="preserve">Sharing and consent</t>
  </si>
  <si>
    <t xml:space="preserve">Share with one doctor</t>
  </si>
  <si>
    <t xml:space="preserve">No shares; shared (expiry); revoked</t>
  </si>
  <si>
    <t xml:space="preserve">Chosen professional, expiry date, revoke</t>
  </si>
  <si>
    <t xml:space="preserve">3.10</t>
  </si>
  <si>
    <t xml:space="preserve">Default 30 days until Q13</t>
  </si>
  <si>
    <t xml:space="preserve">1. Who can see this panel, expiry visible, revoke in one tap; plain confidentiality line.
2. No shares: explain what sharing does and offer Share with your booked doctor.</t>
  </si>
  <si>
    <t xml:space="preserve">L3 T7 T12</t>
  </si>
  <si>
    <t xml:space="preserve">List of shares as rows (doctor, expires on, Revoke). Share with a doctor button opens a sheet listing booked doctors and an expiry picker. Who can see this panel pinned at the top. Above the fold: panel and first share.</t>
  </si>
  <si>
    <t xml:space="preserve">Settings</t>
  </si>
  <si>
    <t xml:space="preserve">Language, timezone, delete account</t>
  </si>
  <si>
    <t xml:space="preserve">Default; delete confirm</t>
  </si>
  <si>
    <t xml:space="preserve">Locale, IANA timezone, delete</t>
  </si>
  <si>
    <t xml:space="preserve">1. Delete explains what is removed and what retention keeps; confirmation buttons name the outcome.
2. Timezone from a GCC-first list; Gregorian with optional Hijri; language in its own script.</t>
  </si>
  <si>
    <t xml:space="preserve">B10 H10 N3 P6 T8</t>
  </si>
  <si>
    <t xml:space="preserve">Grouped list: Language, Timezone, Calendar (Gregorian, Hijri on), Notifications, then a Danger section with Delete uploads and Delete account, each explaining retention. Above the fold: first two groups.</t>
  </si>
  <si>
    <t xml:space="preserve">Profile builder</t>
  </si>
  <si>
    <t xml:space="preserve">Claim, onboard, edit, see the card live</t>
  </si>
  <si>
    <t xml:space="preserve">Pre-filled from registry; editing; credentials uploaded (pending); submitted for review; rejected with reason; live</t>
  </si>
  <si>
    <t xml:space="preserve">Photo, names (en, ar), specialty, city and state, languages and dialect, visit types and fees, ages, video link, training, bio (en, ar), up to 10 expertise tags, credential uploads, publish checklist, live DoctorCard front and back, Arabic preview</t>
  </si>
  <si>
    <t xml:space="preserve">2.4, 2.5</t>
  </si>
  <si>
    <t xml:space="preserve">ikioo flow restyled; replaces 5 screens; phone layout with sticky mini card</t>
  </si>
  <si>
    <t xml:space="preserve">1. Opens pre-filled from registry; required = NPI, licence, board, specialty, photo; checklist starts partly filled with steps remaining.
2. Live card is the reward; photo step says profiles with photos get about 2x views.
3. Photo guidance: white coat, plain background, no group or stock; reject obvious stock.
4. Structured fields: years in practice, board and status (board eligible is text, not badge), training, languages with dialect, Accepting (off until availability set).
5. Labels above, chunks of 4 to 6, validate on blur, specific errors; Arabic fields budget 30% more width.
6. Arabic preview aligns English bio by its language; NPI and phone stay LTR.</t>
  </si>
  <si>
    <t xml:space="preserve">B1 B2 B3 B4 B5 B6 B7 C3 C4 F1 F3 F4 F5 G2 R3 R4 R8 S16</t>
  </si>
  <si>
    <t xml:space="preserve">Phone: form sections stacked with a sticky mini card at the top that updates live; tap it to see the full card and flip. Desktop: form left, full card right, pinned. Section order: photo, names, specialty and city, languages, visit types and fees, training and credentials, bio, tags, availability link, publish checklist. Progress bar under the header starts part-filled. Above the fold: mini card, photo step. Hook: the card changing as you type.</t>
  </si>
  <si>
    <t xml:space="preserve">Availability editor</t>
  </si>
  <si>
    <t xml:space="preserve">Weekly rules, exceptions, timezone</t>
  </si>
  <si>
    <t xml:space="preserve">Default; exception added; preview as Riyadh viewer</t>
  </si>
  <si>
    <t xml:space="preserve">Weekly rules, date exceptions, slot length, IANA timezone</t>
  </si>
  <si>
    <t xml:space="preserve">2.6</t>
  </si>
  <si>
    <t xml:space="preserve">1. Weekend shading follows the preview country; Riyadh preview shows zone and no-DST note; Gregorian.
2. Changes apply within 400 ms with undo, no confirmation dialogs.
3. Saving the first rule flips Accepting new patients on, with a one-line notice.</t>
  </si>
  <si>
    <t xml:space="preserve">B6 B10 L2 N3 P6 P7</t>
  </si>
  <si>
    <t xml:space="preserve">Weekly grid (seven columns, swipeable on phone) with tap-to-add rules, exceptions list below, slot length and timezone selectors above. Preview as Riyadh viewer toggle shows the patient's view. Above the fold: the week grid. Hook: the preview toggle.</t>
  </si>
  <si>
    <t xml:space="preserve">Practice ID card</t>
  </si>
  <si>
    <t xml:space="preserve">View and download the card</t>
  </si>
  <si>
    <t xml:space="preserve">Front; back; unverified watermark</t>
  </si>
  <si>
    <t xml:space="preserve">Card PNG in both languages</t>
  </si>
  <si>
    <t xml:space="preserve">2.7</t>
  </si>
  <si>
    <t xml:space="preserve">Same DoctorCard component rendered to PNG</t>
  </si>
  <si>
    <t xml:space="preserve">1. Verification tick and logo never mirrored; Arabic +2 pt, letter-spacing 0, real weights.
2. Badge text: Credentials verified on [date]; unverified watermark until approved.</t>
  </si>
  <si>
    <t xml:space="preserve">A2 C8 R2 R5 R6</t>
  </si>
  <si>
    <t xml:space="preserve">Card shown large, flip button, language toggle, Download PNG for each side. Unverified watermark until approved. Above the fold: the card.</t>
  </si>
  <si>
    <t xml:space="preserve">Introduction inbox</t>
  </si>
  <si>
    <t xml:space="preserve">See bookings and requests</t>
  </si>
  <si>
    <t xml:space="preserve">Empty; list; detail with shared summary link</t>
  </si>
  <si>
    <t xml:space="preserve">Booking time, patient first name, video link, shared summary</t>
  </si>
  <si>
    <t xml:space="preserve">M2 (placeholder), M3 (real)</t>
  </si>
  <si>
    <t xml:space="preserve">2.9, 3.3</t>
  </si>
  <si>
    <t xml:space="preserve">1. Empty state explains when requests appear; detail answers what, when (both zones), how to join.
2. Shared summary link shows expiry and that the patient can revoke.</t>
  </si>
  <si>
    <t xml:space="preserve">E2 L3 T7</t>
  </si>
  <si>
    <t xml:space="preserve">Rows: patient first name, date and time in the doctor zone, status, Join. Detail drawer: both times, join link, shared summary link with expiry. Above the fold: next visit large, then the list.</t>
  </si>
  <si>
    <t xml:space="preserve">Membership and billing</t>
  </si>
  <si>
    <t xml:space="preserve">Subscribe and manage</t>
  </si>
  <si>
    <t xml:space="preserve">No membership; active; past due (grace); cancelled</t>
  </si>
  <si>
    <t xml:space="preserve">Tier, renewal date, Stripe Customer Portal link</t>
  </si>
  <si>
    <t xml:space="preserve">3.5</t>
  </si>
  <si>
    <t xml:space="preserve">Stripe hosted checkout and portal</t>
  </si>
  <si>
    <t xml:space="preserve">1. Tier, all-in price, renewal date; past-due state says the grace period and what stops.
2. Cancel via Stripe portal; confirmation names the outcome.</t>
  </si>
  <si>
    <t xml:space="preserve">B8 B10 C5</t>
  </si>
  <si>
    <t xml:space="preserve">Current tier card (name, price, renewal), then Manage billing (Stripe portal), then the tier table for upgrades. Past due shows a gold banner at the top. Above the fold: tier card.</t>
  </si>
  <si>
    <t xml:space="preserve">Featured banner</t>
  </si>
  <si>
    <t xml:space="preserve">Buy the carousel slot</t>
  </si>
  <si>
    <t xml:space="preserve">Hidden until carousel ships</t>
  </si>
  <si>
    <t xml:space="preserve">Price, status</t>
  </si>
  <si>
    <t xml:space="preserve">No</t>
  </si>
  <si>
    <t xml:space="preserve">January</t>
  </si>
  <si>
    <t xml:space="preserve">Carousel moved to January</t>
  </si>
  <si>
    <t xml:space="preserve">1. Any purchased slot renders with a Sponsored label at the reading-start corner, shaded; same attributes as organic cards.</t>
  </si>
  <si>
    <t xml:space="preserve">A4</t>
  </si>
  <si>
    <t xml:space="preserve">Hidden until January. When shown: price, dates picker, preview of the home carousel slot with the Sponsored label visible in the preview.</t>
  </si>
  <si>
    <t xml:space="preserve">Payouts setup</t>
  </si>
  <si>
    <t xml:space="preserve">Connect Stripe Express</t>
  </si>
  <si>
    <t xml:space="preserve">Not started; in progress; enabled; restricted</t>
  </si>
  <si>
    <t xml:space="preserve">Stripe onboarding link, charges and payouts enabled flags</t>
  </si>
  <si>
    <t xml:space="preserve">3.1</t>
  </si>
  <si>
    <t xml:space="preserve">Book button hidden until enabled</t>
  </si>
  <si>
    <t xml:space="preserve">1. Show the claimed card and expected earnings before the Stripe link; state the steps and that they can resume.
2. Restricted state names what Stripe needs.</t>
  </si>
  <si>
    <t xml:space="preserve">B3 B5 F3 L3</t>
  </si>
  <si>
    <t xml:space="preserve">One card: the doctor's practice card small, a sentence on how payouts work, three-step status list (identity, bank, enabled), the Stripe button. Restricted state lists what Stripe needs. Above the fold: everything.</t>
  </si>
  <si>
    <t xml:space="preserve">Shared summaries</t>
  </si>
  <si>
    <t xml:space="preserve">Read what patients shared</t>
  </si>
  <si>
    <t xml:space="preserve">Empty; list; viewer</t>
  </si>
  <si>
    <t xml:space="preserve">Summaries shared with this professional, expiry</t>
  </si>
  <si>
    <t xml:space="preserve">1. AI label and reviewed state carry through; expiry shown.</t>
  </si>
  <si>
    <t xml:space="preserve">T4 T7</t>
  </si>
  <si>
    <t xml:space="preserve">Rows: patient first name, shared on, expires on, Open. Viewer reuses the patient summary screen with the AI label and reviewed state. Above the fold: the list.</t>
  </si>
  <si>
    <t xml:space="preserve">Login with TOTP</t>
  </si>
  <si>
    <t xml:space="preserve">Secure admin access</t>
  </si>
  <si>
    <t xml:space="preserve">Email; code; TOTP; refused</t>
  </si>
  <si>
    <t xml:space="preserve">Email, OTP, TOTP</t>
  </si>
  <si>
    <t xml:space="preserve">2.8</t>
  </si>
  <si>
    <t xml:space="preserve">No TOTP, no access (tested)</t>
  </si>
  <si>
    <t xml:space="preserve">1. Single-field codes, paste works, errors in text; refused state gives no hint which factor failed.</t>
  </si>
  <si>
    <t xml:space="preserve">F5 F6 W4</t>
  </si>
  <si>
    <t xml:space="preserve">Centred card, three sequential steps replacing each other: email, code, authenticator code. No branding beyond the wordmark. Above the fold: the card.</t>
  </si>
  <si>
    <t xml:space="preserve">Credential review queue</t>
  </si>
  <si>
    <t xml:space="preserve">Approve or reject claims</t>
  </si>
  <si>
    <t xml:space="preserve">Queue; detail with documents; approved; rejected with reason</t>
  </si>
  <si>
    <t xml:space="preserve">Claim, uploads, registry data, decision, reason</t>
  </si>
  <si>
    <t xml:space="preserve">Approve sets verified plus date</t>
  </si>
  <si>
    <t xml:space="preserve">1. Checklist per claim: licence (state board), board (ABMS), sanctions (FSMB/NPDB); store source, date, reviewer; board eligible never becomes the badge.
2. Photo check (white coat, no stock); approve/reject with outcome-named buttons; reject requires a reason the doctor sees.</t>
  </si>
  <si>
    <t xml:space="preserve">A1 A2 B7 B10 C4</t>
  </si>
  <si>
    <t xml:space="preserve">Left: queue list with age and status. Right: detail with the registry data and the doctor's entries side by side, documents as thumbnails opening in a viewer, a verification checklist (licence, board, sanctions, photo) each with source and date fields, then Approve or Reject with reason. Above the fold: the checklist.</t>
  </si>
  <si>
    <t xml:space="preserve">Listings</t>
  </si>
  <si>
    <t xml:space="preserve">Manage professionals</t>
  </si>
  <si>
    <t xml:space="preserve">Table with status filter; edit</t>
  </si>
  <si>
    <t xml:space="preserve">Status (unclaimed, claimed, verified, rejected, removed), specialty, city</t>
  </si>
  <si>
    <t xml:space="preserve">1. Verified-on date and next re-verification column; unclaimed clearly distinct.</t>
  </si>
  <si>
    <t xml:space="preserve">A2 A5 U1</t>
  </si>
  <si>
    <t xml:space="preserve">Table with status filter chips above (Unclaimed, Claimed, Verified, Rejected, Removed), columns name, specialty, city, verified on, next re-verification; row click opens an edit drawer.</t>
  </si>
  <si>
    <t xml:space="preserve">Specialty list</t>
  </si>
  <si>
    <t xml:space="preserve">Edit the 104 groups</t>
  </si>
  <si>
    <t xml:space="preserve">Table; edit</t>
  </si>
  <si>
    <t xml:space="preserve">Arabic and English names, slug, taxonomy codes</t>
  </si>
  <si>
    <t xml:space="preserve">1. Arabic and English names plus synonym and transliteration lists for search.</t>
  </si>
  <si>
    <t xml:space="preserve">S2 S16</t>
  </si>
  <si>
    <t xml:space="preserve">Table: Arabic name, English name, slug, codes, synonyms; inline edit; Add row at the top.</t>
  </si>
  <si>
    <t xml:space="preserve">Removal requests</t>
  </si>
  <si>
    <t xml:space="preserve">Handle this is me / remove me</t>
  </si>
  <si>
    <t xml:space="preserve">Open with SLA timer; confirmed; refused</t>
  </si>
  <si>
    <t xml:space="preserve">Request, NPI, reason, timer</t>
  </si>
  <si>
    <t xml:space="preserve">410 within 48 hours</t>
  </si>
  <si>
    <t xml:space="preserve">1. SLA timer visible; confirmed state triggers 410 and audit entry.</t>
  </si>
  <si>
    <t xml:space="preserve">A3 U4</t>
  </si>
  <si>
    <t xml:space="preserve">Table with SLA timer column (colour at 36 h), detail drawer with the request, matching profile, Confirm removal or Refuse with reason.</t>
  </si>
  <si>
    <t xml:space="preserve">Members and subscriptions</t>
  </si>
  <si>
    <t xml:space="preserve">See memberships</t>
  </si>
  <si>
    <t xml:space="preserve">Table</t>
  </si>
  <si>
    <t xml:space="preserve">Tier, status, renewal, past due</t>
  </si>
  <si>
    <t xml:space="preserve">3.5, 3.11</t>
  </si>
  <si>
    <t xml:space="preserve">1. Table defaults to active and past due; the rest one level down.</t>
  </si>
  <si>
    <t xml:space="preserve">A5</t>
  </si>
  <si>
    <t xml:space="preserve">Table defaulting to Active and Past due; filter chips for the rest; Stripe link per row.</t>
  </si>
  <si>
    <t xml:space="preserve">Payments, refunds, payouts</t>
  </si>
  <si>
    <t xml:space="preserve">Money view and refund action</t>
  </si>
  <si>
    <t xml:space="preserve">Tables; refund confirm</t>
  </si>
  <si>
    <t xml:space="preserve">Payments, refunds, payouts from Stripe, CSV export</t>
  </si>
  <si>
    <t xml:space="preserve">3.4, 3.11</t>
  </si>
  <si>
    <t xml:space="preserve">Refund reverses transfer</t>
  </si>
  <si>
    <t xml:space="preserve">1. Refund (not void) with outcome-named confirmation; export mirrors receipt lines.</t>
  </si>
  <si>
    <t xml:space="preserve">B10 E3 P13</t>
  </si>
  <si>
    <t xml:space="preserve">Three tabs. Payments table with status; Refund button opens a drawer with the amount, the transfer reversal note, and a confirm that names the outcome. Export CSV top right.</t>
  </si>
  <si>
    <t xml:space="preserve">Banners</t>
  </si>
  <si>
    <t xml:space="preserve">Manage featured slots</t>
  </si>
  <si>
    <t xml:space="preserve">Active banners, dates</t>
  </si>
  <si>
    <t xml:space="preserve">With the carousel</t>
  </si>
  <si>
    <t xml:space="preserve">1. Each banner row shows its label and dates; no unlabelled placements possible.</t>
  </si>
  <si>
    <t xml:space="preserve">Hidden until January. Table of banners with label, dates, status; preview link.</t>
  </si>
  <si>
    <t xml:space="preserve">AI jobs and costs</t>
  </si>
  <si>
    <t xml:space="preserve">Watch the records pipeline</t>
  </si>
  <si>
    <t xml:space="preserve">Table; failed job retry; daily spend</t>
  </si>
  <si>
    <t xml:space="preserve">Jobs, tokens, cost, status, retry</t>
  </si>
  <si>
    <t xml:space="preserve">3.11</t>
  </si>
  <si>
    <t xml:space="preserve">Daily spend alert</t>
  </si>
  <si>
    <t xml:space="preserve">1. Charts with LTR numerals; empty state explains what a job is.</t>
  </si>
  <si>
    <t xml:space="preserve">L3 R11</t>
  </si>
  <si>
    <t xml:space="preserve">Daily spend tile row at the top (today, this week, alert threshold), then the jobs table with status and Retry; LTR numerals in charts.</t>
  </si>
  <si>
    <t xml:space="preserve">Outreach and invites</t>
  </si>
  <si>
    <t xml:space="preserve">Track invite tokens</t>
  </si>
  <si>
    <t xml:space="preserve">Table; filters</t>
  </si>
  <si>
    <t xml:space="preserve">Invites sent, opened, claimed, expired</t>
  </si>
  <si>
    <t xml:space="preserve">2.3, 4.5</t>
  </si>
  <si>
    <t xml:space="preserve">Sending waits on counsel</t>
  </si>
  <si>
    <t xml:space="preserve">1. Track opened and claimed; filters one level down.</t>
  </si>
  <si>
    <t xml:space="preserve">A5 U6</t>
  </si>
  <si>
    <t xml:space="preserve">Funnel tiles (sent, opened, claimed, expired) then the table with filters; send actions stay disabled until counsel clears sending.</t>
  </si>
  <si>
    <t xml:space="preserve">Audit log</t>
  </si>
  <si>
    <t xml:space="preserve">Who did what</t>
  </si>
  <si>
    <t xml:space="preserve">Table with filters</t>
  </si>
  <si>
    <t xml:space="preserve">Actor, action, target, old, new, time</t>
  </si>
  <si>
    <t xml:space="preserve">Append only</t>
  </si>
  <si>
    <t xml:space="preserve">1. Actor, source and reviewer on verification events; append only.</t>
  </si>
  <si>
    <t xml:space="preserve">A1 B10</t>
  </si>
  <si>
    <t xml:space="preserve">Table with actor, action, target, old and new (expandable), time; filters by actor and action; no edit controls anywhere.</t>
  </si>
  <si>
    <t xml:space="preserve">Brand page /brand</t>
  </si>
  <si>
    <t xml:space="preserve">Tokens and components</t>
  </si>
  <si>
    <t xml:space="preserve">Both locales</t>
  </si>
  <si>
    <t xml:space="preserve">Colours, type, spacing, every component, DoctorCard states, coach mark</t>
  </si>
  <si>
    <t xml:space="preserve">M1</t>
  </si>
  <si>
    <t xml:space="preserve">1.2</t>
  </si>
  <si>
    <t xml:space="preserve">Built from the approved theme board</t>
  </si>
  <si>
    <t xml:space="preserve">1. Tokens: Arabic type scale (16/18 px body, +2 pt beside Latin, line height 1.5), letter-spacing 0 for ar, font-synthesis none, 30% width budget; contrast 4.5:1 checked for gold on sand; 24 and 48 px targets.
2. Icon mirroring list (mirror vs never); bdi and dir=ltr helpers; number formatter with nu-latn.
3. Form field, error, skeleton and empty-state components built once here.</t>
  </si>
  <si>
    <t xml:space="preserve">F1 F5 L1 L3 N1 R2 R3 R5 R6 R8 W1 W2</t>
  </si>
  <si>
    <t xml:space="preserve">Left contents rail, sections: colours, type (both scripts side by side with the Arabic scale), spacing, icons with a mirror / do not mirror table, buttons, fields and errors, tags, skeletons, empty states, DoctorCard in every state, coach mark. Locale toggle at the top flips the whole page.</t>
  </si>
  <si>
    <t xml:space="preserve">Email templates (8)</t>
  </si>
  <si>
    <t xml:space="preserve">Transactional email</t>
  </si>
  <si>
    <t xml:space="preserve">Both locales, RTL tested in Gmail and Outlook</t>
  </si>
  <si>
    <t xml:space="preserve">Invite, OTP, claim received, approved, rejected, removal confirmed, booking confirmation, refund</t>
  </si>
  <si>
    <t xml:space="preserve">M2, M3</t>
  </si>
  <si>
    <t xml:space="preserve">2.9, 3.3, 3.4</t>
  </si>
  <si>
    <t xml:space="preserve">Reminders move to January</t>
  </si>
  <si>
    <t xml:space="preserve">1. Subject states the content; body answers what, when (both zones), how to join, how to change; receipt mirrors review; RTL with LTR codes, 16 px Arabic.
2. Any AI-generated line in an email is labelled.</t>
  </si>
  <si>
    <t xml:space="preserve">E1 E2 E3 E4 T4</t>
  </si>
  <si>
    <t xml:space="preserve">One layout: wordmark, one-line headline, the key block (code, appointment card, or receipt lines), one button, plain-text details, footer with address. Width 600 px, single column, RTL variant per template.</t>
  </si>
  <si>
    <t xml:space="preserve">Loading and empty states</t>
  </si>
  <si>
    <t xml:space="preserve">Every route</t>
  </si>
  <si>
    <t xml:space="preserve">Skeleton with real labels; empty with next action</t>
  </si>
  <si>
    <t xml:space="preserve">Per screen</t>
  </si>
  <si>
    <t xml:space="preserve">M1 onward</t>
  </si>
  <si>
    <t xml:space="preserve">1.6, 1.7</t>
  </si>
  <si>
    <t xml:space="preserve">Standing rule: never a blank wait; every page has a hook</t>
  </si>
  <si>
    <t xml:space="preserve">1. Nielsen limits (1 s, 10 s), 400 ms optimistic response, three-part empty states, labour-illusion step lists, specific errors.</t>
  </si>
  <si>
    <t xml:space="preserve">L1 L2 L3 L4 T11</t>
  </si>
  <si>
    <t xml:space="preserve">Skeletons are shaped like the real rows and cards and use real labels; empty states are a short title, one line of why, one button; both live on the brand page and are reused, never redrawn per screen.</t>
  </si>
  <si>
    <t xml:space="preserve">ID</t>
  </si>
  <si>
    <t xml:space="preserve">Group</t>
  </si>
  <si>
    <t xml:space="preserve">Rule</t>
  </si>
  <si>
    <t xml:space="preserve">Applies to</t>
  </si>
  <si>
    <t xml:space="preserve">Evidence</t>
  </si>
  <si>
    <t xml:space="preserve">Source</t>
  </si>
  <si>
    <t xml:space="preserve">Type</t>
  </si>
  <si>
    <t xml:space="preserve">URL</t>
  </si>
  <si>
    <t xml:space="preserve">H1</t>
  </si>
  <si>
    <t xml:space="preserve">Home and marketing pages</t>
  </si>
  <si>
    <t xml:space="preserve">Put the value proposition, the differentiator and the primary CTA in the first screenful, and signal that more follows.</t>
  </si>
  <si>
    <t xml:space="preserve">Home, explainer, directory landing</t>
  </si>
  <si>
    <t xml:space="preserve">57% of viewing time is above the fold, 74% in the first two screenfuls (NN/g eyetracking 2018).</t>
  </si>
  <si>
    <t xml:space="preserve">NN/g, Scrolling and Attention</t>
  </si>
  <si>
    <t xml:space="preserve">https://www.nngroup.com/articles/scrolling-and-attention/</t>
  </si>
  <si>
    <t xml:space="preserve">H2</t>
  </si>
  <si>
    <t xml:space="preserve">Write a one-line tagline that says what the site does and for whom; never a generic welcome.</t>
  </si>
  <si>
    <t xml:space="preserve">Homepage must work as an elevator pitch; vague labels have weak information scent.</t>
  </si>
  <si>
    <t xml:space="preserve">NN/g, Homepage Design Principles</t>
  </si>
  <si>
    <t xml:space="preserve">https://www.nngroup.com/articles/homepage-design-principles/</t>
  </si>
  <si>
    <t xml:space="preserve">H3</t>
  </si>
  <si>
    <t xml:space="preserve">Front-load the first two words of every heading, bullet and paragraph with information-carrying words.</t>
  </si>
  <si>
    <t xml:space="preserve">All content</t>
  </si>
  <si>
    <t xml:space="preserve">F-pattern eyetracking of 232 users: readers catch the first two words of a line far more than the third.</t>
  </si>
  <si>
    <t xml:space="preserve">NN/g, F-Shaped Pattern</t>
  </si>
  <si>
    <t xml:space="preserve">https://www.nngroup.com/articles/f-shaped-pattern-reading-web-content-discovered/</t>
  </si>
  <si>
    <t xml:space="preserve">H4</t>
  </si>
  <si>
    <t xml:space="preserve">Use real photos of the actual doctors and team; never stock people or decorative hero figures.</t>
  </si>
  <si>
    <t xml:space="preserve">Home, about, cards, profiles</t>
  </si>
  <si>
    <t xml:space="preserve">Users spent 10% more time on real team portraits than on bios taking 316% more space; stock people are ignored as filler.</t>
  </si>
  <si>
    <t xml:space="preserve">NN/g, Photos as Web Content</t>
  </si>
  <si>
    <t xml:space="preserve">https://www.nngroup.com/articles/photos-as-web-content/</t>
  </si>
  <si>
    <t xml:space="preserve">H5</t>
  </si>
  <si>
    <t xml:space="preserve">Show up to 4 top-level links visibly on mobile before hiding the rest; keep visible nav on desktop.</t>
  </si>
  <si>
    <t xml:space="preserve">All pages</t>
  </si>
  <si>
    <t xml:space="preserve">Hidden nav: discoverability down 20%+, tasks 39% slower on desktop and 15% on mobile (n=179).</t>
  </si>
  <si>
    <t xml:space="preserve">NN/g, Hamburger Menus</t>
  </si>
  <si>
    <t xml:space="preserve">https://www.nngroup.com/articles/hamburger-menus/</t>
  </si>
  <si>
    <t xml:space="preserve">H6</t>
  </si>
  <si>
    <t xml:space="preserve">Show counts (doctors, specialties, bookings) only when they are large enough to impress; small numbers backfire.</t>
  </si>
  <si>
    <t xml:space="preserve">Home, directory</t>
  </si>
  <si>
    <t xml:space="preserve">A participant judged an article unpopular because it had only 1,000 shares.</t>
  </si>
  <si>
    <t xml:space="preserve">NN/g, Social Proof in the UX</t>
  </si>
  <si>
    <t xml:space="preserve">https://www.nngroup.com/articles/social-proof-ux/</t>
  </si>
  <si>
    <t xml:space="preserve">H7</t>
  </si>
  <si>
    <t xml:space="preserve">Put the three most-trusted credentials (licence, board certification, price) above the fold, ahead of any reviews.</t>
  </si>
  <si>
    <t xml:space="preserve">Home, profile</t>
  </si>
  <si>
    <t xml:space="preserve">Licence, board certification and insurance/price rated most important when choosing a clinician; reviews rated least.</t>
  </si>
  <si>
    <t xml:space="preserve">J Patient Exp 2022, Choosing a Provider</t>
  </si>
  <si>
    <t xml:space="preserve">https://doaj.org/article/30019e7bdeea4028b38558d51565cb57</t>
  </si>
  <si>
    <t xml:space="preserve">H8</t>
  </si>
  <si>
    <t xml:space="preserve">Define US board certified in one plain sentence wherever the badge first appears.</t>
  </si>
  <si>
    <t xml:space="preserve">Home, cards, profile, builder</t>
  </si>
  <si>
    <t xml:space="preserve">Only 23% of consumers could define board certification; 78% wrongly think it is required to practise; 91% rate it important once defined.</t>
  </si>
  <si>
    <t xml:space="preserve">ABMS 2010 Consumer Survey</t>
  </si>
  <si>
    <t xml:space="preserve">https://www.abderm.org/media/40431/abms-2010-consumer-survey.pdf</t>
  </si>
  <si>
    <t xml:space="preserve">H9</t>
  </si>
  <si>
    <t xml:space="preserve">Show a physical address, the operating entity, and an easy contact route on the home page and footer.</t>
  </si>
  <si>
    <t xml:space="preserve">Home, about, contact, footer</t>
  </si>
  <si>
    <t xml:space="preserve">Stanford credibility guidelines 2 and 5 (4,500+ participants).</t>
  </si>
  <si>
    <t xml:space="preserve">Stanford Web Credibility Guidelines</t>
  </si>
  <si>
    <t xml:space="preserve">https://credibility.stanford.edu/guidelines</t>
  </si>
  <si>
    <t xml:space="preserve">H10</t>
  </si>
  <si>
    <t xml:space="preserve">Language switcher in the header, each language in its own script (العربية / English), globe icon, never a flag.</t>
  </si>
  <si>
    <t xml:space="preserve">W3C i18n: options in the target language, recognisable icon, keep on-page links even with auto-detect.</t>
  </si>
  <si>
    <t xml:space="preserve">W3C, Language selection</t>
  </si>
  <si>
    <t xml:space="preserve">https://www.w3.org/International/questions/qa-navigation-select</t>
  </si>
  <si>
    <t xml:space="preserve">H11</t>
  </si>
  <si>
    <t xml:space="preserve">Avoid false floors: never end a full-width section with a CTA and whitespace that looks like the page end.</t>
  </si>
  <si>
    <t xml:space="preserve">Home, explainer</t>
  </si>
  <si>
    <t xml:space="preserve">Illusion of completeness (NN/g); cut-off items and rhythm signal continuation (CXL).</t>
  </si>
  <si>
    <t xml:space="preserve">NN/g Illusion of Completeness; CXL False Bottom</t>
  </si>
  <si>
    <t xml:space="preserve">https://www.nngroup.com/videos/illusion-completeness/</t>
  </si>
  <si>
    <t xml:space="preserve">H12</t>
  </si>
  <si>
    <t xml:space="preserve">Target LCP of 2.5 s or less at the 75th percentile on mobile; compress doctor photos.</t>
  </si>
  <si>
    <t xml:space="preserve">All public pages</t>
  </si>
  <si>
    <t xml:space="preserve">Core Web Vitals: good is 2.5 s or less; most Saudi sites miss 3 s because image sets exceed 1,500 KB.</t>
  </si>
  <si>
    <t xml:space="preserve">web.dev LCP; Namoun &amp; Alkhodre 2019</t>
  </si>
  <si>
    <t xml:space="preserve">https://web.dev/articles/lcp</t>
  </si>
  <si>
    <t xml:space="preserve">H13</t>
  </si>
  <si>
    <t xml:space="preserve">Lead with US training plus US board certification as the unique signal.</t>
  </si>
  <si>
    <t xml:space="preserve">Home, cards</t>
  </si>
  <si>
    <t xml:space="preserve">On Zocdoc, non-US school graduates scored lower (4.63 vs 4.77); Gulf patients already travel to the US for care (USA is Saudi's top destination).</t>
  </si>
  <si>
    <t xml:space="preserve">JMIR 2024 Zocdoc reviews; IMTJ GCC medical tourism</t>
  </si>
  <si>
    <t xml:space="preserve">https://www.jmir.org/2024/1/e51672</t>
  </si>
  <si>
    <t xml:space="preserve">H14</t>
  </si>
  <si>
    <t xml:space="preserve">Show a not-for-emergencies line with the local emergency number for the viewer's country.</t>
  </si>
  <si>
    <t xml:space="preserve">Home, intake chat, booking</t>
  </si>
  <si>
    <t xml:space="preserve">DHA excludes emergencies from telehealth; HHS: 911 only works in the patient's location.</t>
  </si>
  <si>
    <t xml:space="preserve">Kayrouz UAE telehealth; HHS emergency plan</t>
  </si>
  <si>
    <t xml:space="preserve">https://telehealth.hhs.gov/providers/preparing-patients-for-telehealth/creating-an-emergency-plan</t>
  </si>
  <si>
    <t xml:space="preserve">H15</t>
  </si>
  <si>
    <t xml:space="preserve">Address legality plainly: a short section on how a US doctor can consult a Gulf patient and what the visit can and cannot do.</t>
  </si>
  <si>
    <t xml:space="preserve">Home, FAQ, how it works</t>
  </si>
  <si>
    <t xml:space="preserve">Saudi survey (n=1,024): 60.5% had used telemedicine but only 41.9% felt the legal aspects were clear.</t>
  </si>
  <si>
    <t xml:space="preserve">JMIR Formative 2023, Saudi telemedicine</t>
  </si>
  <si>
    <t xml:space="preserve">https://formative.jmir.org/2023/1/e46446</t>
  </si>
  <si>
    <t xml:space="preserve">X1</t>
  </si>
  <si>
    <t xml:space="preserve">Explainer, FAQ and content pages</t>
  </si>
  <si>
    <t xml:space="preserve">Write patient-facing copy at grade 6 reading level; main message in the first paragraph, visible without scrolling.</t>
  </si>
  <si>
    <t xml:space="preserve">Explainer, FAQ, emails, summaries, chat</t>
  </si>
  <si>
    <t xml:space="preserve">Plain-language rewrite lifted task success 46% to 82% and cut time 22.3 to 9.5 min (n=50); AMA/NIH recommend grade 4 to 6; CDC CCI passing score 90.</t>
  </si>
  <si>
    <t xml:space="preserve">NN/g Lower-Literacy; CDC Clear Communication Index</t>
  </si>
  <si>
    <t xml:space="preserve">https://www.nngroup.com/articles/writing-for-lower-literacy-users/</t>
  </si>
  <si>
    <t xml:space="preserve">X2</t>
  </si>
  <si>
    <t xml:space="preserve">Single main column, static text, linear menus on explanatory pages; no moving text or fly-outs.</t>
  </si>
  <si>
    <t xml:space="preserve">Explainer, FAQ</t>
  </si>
  <si>
    <t xml:space="preserve">Same NN/g study: two-dimensional layouts and animation hurt lower-literacy readers.</t>
  </si>
  <si>
    <t xml:space="preserve">NN/g Lower-Literacy</t>
  </si>
  <si>
    <t xml:space="preserve">X3</t>
  </si>
  <si>
    <t xml:space="preserve">Make every credential claim verifiable: link to the certifying board or licence registry.</t>
  </si>
  <si>
    <t xml:space="preserve">Why US training, profile</t>
  </si>
  <si>
    <t xml:space="preserve">Stanford guideline 1: easy third-party verification raises credibility; ABMS Certification Matters is the public lookup.</t>
  </si>
  <si>
    <t xml:space="preserve">Stanford guidelines; ABMS Certification Matters</t>
  </si>
  <si>
    <t xml:space="preserve">https://www.certificationmatters.org/</t>
  </si>
  <si>
    <t xml:space="preserve">X4</t>
  </si>
  <si>
    <t xml:space="preserve">Show a last-reviewed date on medical, process, pricing and legal content.</t>
  </si>
  <si>
    <t xml:space="preserve">Explainer, FAQ, legal, profile</t>
  </si>
  <si>
    <t xml:space="preserve">Stanford guideline 8: visibly recent content increases credibility.</t>
  </si>
  <si>
    <t xml:space="preserve">X5</t>
  </si>
  <si>
    <t xml:space="preserve">Progressive disclosure, two levels at most: core steps first, details behind a labelled control; accordions for many short items, tabs for a few long ones.</t>
  </si>
  <si>
    <t xml:space="preserve">How it works, FAQ, profile</t>
  </si>
  <si>
    <t xml:space="preserve">Designs beyond two levels usually have low usability.</t>
  </si>
  <si>
    <t xml:space="preserve">NN/g Progressive Disclosure; Tabs vs Accordions</t>
  </si>
  <si>
    <t xml:space="preserve">https://www.nngroup.com/articles/progressive-disclosure/</t>
  </si>
  <si>
    <t xml:space="preserve">X6</t>
  </si>
  <si>
    <t xml:space="preserve">Keep the steps list short and highlight the recommended path.</t>
  </si>
  <si>
    <t xml:space="preserve">How it works, pricing</t>
  </si>
  <si>
    <t xml:space="preserve">Hick-Hyman law: decision time rises with number and complexity of choices.</t>
  </si>
  <si>
    <t xml:space="preserve">Laws of UX, Hick's Law</t>
  </si>
  <si>
    <t xml:space="preserve">https://lawsofux.com/hicks-law/</t>
  </si>
  <si>
    <t xml:space="preserve">X7</t>
  </si>
  <si>
    <t xml:space="preserve">Show a curated set first (top specialties, a few doctors) with see-all, not the whole catalogue.</t>
  </si>
  <si>
    <t xml:space="preserve">Directory landing, home</t>
  </si>
  <si>
    <t xml:space="preserve">Jam study: 6 options converted 30%, 24 options 3%.</t>
  </si>
  <si>
    <t xml:space="preserve">Iyengar &amp; Lepper 2000 via Econsultancy</t>
  </si>
  <si>
    <t xml:space="preserve">https://econsultancy.com/want-more-sales-give-consumers-fewer-options/</t>
  </si>
  <si>
    <t xml:space="preserve">S1</t>
  </si>
  <si>
    <t xml:space="preserve">Directory, search and filters</t>
  </si>
  <si>
    <t xml:space="preserve">Autocomplete: at most 10 suggestions on desktop, 4 to 8 on mobile; bold the predicted part; arrow keys copy the suggestion into the field.</t>
  </si>
  <si>
    <t xml:space="preserve">Search box</t>
  </si>
  <si>
    <t xml:space="preserve">80% of sites offer autocomplete, 19% do it well; 58% fail arrow-key copy.</t>
  </si>
  <si>
    <t xml:space="preserve">Baymard, Autocomplete Design</t>
  </si>
  <si>
    <t xml:space="preserve">https://baymard.com/research-articles/autocomplete-design</t>
  </si>
  <si>
    <t xml:space="preserve">S2</t>
  </si>
  <si>
    <t xml:space="preserve">Tolerate misspellings and Arabic-to-English transliterations (specialties, names) in autocomplete and results; test symptom words like rash.</t>
  </si>
  <si>
    <t xml:space="preserve">Search</t>
  </si>
  <si>
    <t xml:space="preserve">69% of sites fail misspellings; 90% of hospital finders failed the word rash and matched surnames instead.</t>
  </si>
  <si>
    <t xml:space="preserve">Baymard misspellings; Kyruus via Becker's</t>
  </si>
  <si>
    <t xml:space="preserve">https://baymard.com/research-articles/offer-autocomplete-suggestions-for-misspellings</t>
  </si>
  <si>
    <t xml:space="preserve">S3</t>
  </si>
  <si>
    <t xml:space="preserve">Visible search field with a submit button on mobile; persist the query in the field and the filter state in the URL so Back and sharing work.</t>
  </si>
  <si>
    <t xml:space="preserve">Search, results</t>
  </si>
  <si>
    <t xml:space="preserve">21% lack a mobile submit button; 37% do not persist queries; 90% of load-more sites break Back.</t>
  </si>
  <si>
    <t xml:space="preserve">Baymard search benchmark; Baymard/Smashing load-more study</t>
  </si>
  <si>
    <t xml:space="preserve">https://baymard.com/research-articles/mobile-search-submit-button</t>
  </si>
  <si>
    <t xml:space="preserve">S4</t>
  </si>
  <si>
    <t xml:space="preserve">Default sort is diversity-weighted Relevance; never alphabetical or raw popularity. Offer Relevance, Soonest available, Price, Experience.</t>
  </si>
  <si>
    <t xml:space="preserve">Results</t>
  </si>
  <si>
    <t xml:space="preserve">24% of sites fail the default sort; unrepresentative first pages made users leave; no tester ever chose alphabetical.</t>
  </si>
  <si>
    <t xml:space="preserve">Baymard, Default Sort Type; Essential Sort Types</t>
  </si>
  <si>
    <t xml:space="preserve">https://baymard.com/research-articles/default-sort-type</t>
  </si>
  <si>
    <t xml:space="preserve">S5</t>
  </si>
  <si>
    <t xml:space="preserve">Use Load more, not pagination or infinite scroll: 15 to 30 results on mobile, 25 to 75 on desktop before the button; restore scroll position on Back.</t>
  </si>
  <si>
    <t xml:space="preserve">Infinite scroll hid the footer and made users skim; pagination made users browse less; load more performed best.</t>
  </si>
  <si>
    <t xml:space="preserve">Baymard via Smashing, Pagination vs Infinite Scroll vs Load More</t>
  </si>
  <si>
    <t xml:space="preserve">https://www.smashingmagazine.com/2016/03/pagination-infinite-scrolling-load-more-buttons/</t>
  </si>
  <si>
    <t xml:space="preserve">S6</t>
  </si>
  <si>
    <t xml:space="preserve">Zero results must offer: relaxed-filter parent scope, 3 to 5 alternative queries with previews (auto-applied if only one works), popular doctors, and a human contact.</t>
  </si>
  <si>
    <t xml:space="preserve">Results, 404</t>
  </si>
  <si>
    <t xml:space="preserve">About half of no-results pages raise abandonment; spelling tips alone are not enough.</t>
  </si>
  <si>
    <t xml:space="preserve">Baymard, No Results Page</t>
  </si>
  <si>
    <t xml:space="preserve">https://baymard.com/research-articles/no-results-page</t>
  </si>
  <si>
    <t xml:space="preserve">S7</t>
  </si>
  <si>
    <t xml:space="preserve">Offer a filter for every attribute shown on the card; include price, language, visit type, gender, next available within 72 h.</t>
  </si>
  <si>
    <t xml:space="preserve">Filters</t>
  </si>
  <si>
    <t xml:space="preserve">38% of sites lack filters for displayed attributes; 80% of mobile testers tried a price filter; half of new Zocdoc patients book within 72 h.</t>
  </si>
  <si>
    <t xml:space="preserve">Baymard, Filters for List Item Info; 5 Essential Filters; Zocdoc</t>
  </si>
  <si>
    <t xml:space="preserve">https://baymard.com/research-articles/have-filters-for-list-item-info</t>
  </si>
  <si>
    <t xml:space="preserve">S8</t>
  </si>
  <si>
    <t xml:space="preserve">Doctor gender is a first-class filter, suggested for ob/gyn, urology, psychiatry and dermatology.</t>
  </si>
  <si>
    <t xml:space="preserve">Filters, card</t>
  </si>
  <si>
    <t xml:space="preserve">Riyadh survey (n=3,015): women favoured female physicians for gynaecology, obstetrics, urology and counselling; men preferred male for urology, surgery, orthopaedics.</t>
  </si>
  <si>
    <t xml:space="preserve">J Nat Sci Med 2019</t>
  </si>
  <si>
    <t xml:space="preserve">https://doaj.org/article/e3139a066bae43858880c1712e6cd4cc</t>
  </si>
  <si>
    <t xml:space="preserve">S9</t>
  </si>
  <si>
    <t xml:space="preserve">Multi-select within a filter type (OR), AND across types; checkboxes not radios; 5 to 10 filter types visible.</t>
  </si>
  <si>
    <t xml:space="preserve">Testers commonly applied 5 to 6 filters, up to 10; 15% of sites block combining values.</t>
  </si>
  <si>
    <t xml:space="preserve">Baymard, Multiple Filter Values</t>
  </si>
  <si>
    <t xml:space="preserve">https://baymard.com/research-articles/allow-applying-of-multiple-filter-values</t>
  </si>
  <si>
    <t xml:space="preserve">S10</t>
  </si>
  <si>
    <t xml:space="preserve">Show result counts beside every filter option and on the mobile Apply button (Show 37 doctors); never let a combination land on an empty list.</t>
  </si>
  <si>
    <t xml:space="preserve">Counts are one of the highest-impact improvements; they let users avoid zero-result combinations.</t>
  </si>
  <si>
    <t xml:space="preserve">Baymard filter UI; NN/g Applying Filters</t>
  </si>
  <si>
    <t xml:space="preserve">https://www.nngroup.com/articles/applying-filters/</t>
  </si>
  <si>
    <t xml:space="preserve">S11</t>
  </si>
  <si>
    <t xml:space="preserve">Desktop: apply filters instantly (under 1 s, dim the list, keep scroll). Mobile: batch behind a sticky Apply in a bottom sheet; sticky filter trigger; top three filters first.</t>
  </si>
  <si>
    <t xml:space="preserve">Four page loads for four filters is too costly on mobile; only 2 to 10% of mobile users open filters vs 38% on desktop.</t>
  </si>
  <si>
    <t xml:space="preserve">NN/g Applying Filters; Baymard guideline 1125; Contentsquare</t>
  </si>
  <si>
    <t xml:space="preserve">https://baymard.com/guidelines/1125-apply-buttons-in-mobile-filtering-interfaces</t>
  </si>
  <si>
    <t xml:space="preserve">S12</t>
  </si>
  <si>
    <t xml:space="preserve">Always show applied filters as removable chips with Clear all; never only a count like Filters (3).</t>
  </si>
  <si>
    <t xml:space="preserve">28% of sites lack the overview; count-only overviews performed poorly.</t>
  </si>
  <si>
    <t xml:space="preserve">Baymard, How to Design Applied Filters</t>
  </si>
  <si>
    <t xml:space="preserve">https://baymard.com/blog/how-to-design-applied-filters</t>
  </si>
  <si>
    <t xml:space="preserve">S13</t>
  </si>
  <si>
    <t xml:space="preserve">Truncate long value lists at 6 to 10 visible values with a Show more (+N) link; never truncate a single value.</t>
  </si>
  <si>
    <t xml:space="preserve">Filters (languages, cities)</t>
  </si>
  <si>
    <t xml:space="preserve">Under 6 values users assumed the list was complete; 15+ lost overview; inline scroll areas fail on 26% of sites.</t>
  </si>
  <si>
    <t xml:space="preserve">Baymard, Truncation Design</t>
  </si>
  <si>
    <t xml:space="preserve">https://baymard.com/research-articles/truncation-design</t>
  </si>
  <si>
    <t xml:space="preserve">S14</t>
  </si>
  <si>
    <t xml:space="preserve">List layout (one doctor per row), not a grid of cards, for search results.</t>
  </si>
  <si>
    <t xml:space="preserve">Cards de-emphasise ranking and are harder to scan; lists suit homogeneous, comparable items.</t>
  </si>
  <si>
    <t xml:space="preserve">NN/g Cards; Baymard product tables</t>
  </si>
  <si>
    <t xml:space="preserve">https://www.nngroup.com/articles/cards-component/</t>
  </si>
  <si>
    <t xml:space="preserve">S15</t>
  </si>
  <si>
    <t xml:space="preserve">Breadcrumbs: Home &gt; Specialty &gt; City, one line, current page unlinked; parent level only on mobile.</t>
  </si>
  <si>
    <t xml:space="preserve">Results, profile</t>
  </si>
  <si>
    <t xml:space="preserve">NN/g breadcrumb guidelines.</t>
  </si>
  <si>
    <t xml:space="preserve">NN/g, Breadcrumbs</t>
  </si>
  <si>
    <t xml:space="preserve">https://www.nngroup.com/articles/breadcrumbs/</t>
  </si>
  <si>
    <t xml:space="preserve">S16</t>
  </si>
  <si>
    <t xml:space="preserve">Specialty names bilingual: Arabic first, English in parentheses; language filter names the dialect.</t>
  </si>
  <si>
    <t xml:space="preserve">Directory, filters, cards</t>
  </si>
  <si>
    <t xml:space="preserve">Gulf users code-switch for medical vocabulary; language-concordant care improved outcomes in 25 of 33 studies.</t>
  </si>
  <si>
    <t xml:space="preserve">Diamond et al. JGIM 2019; Saudi code-switching studies</t>
  </si>
  <si>
    <t xml:space="preserve">https://pubmed.ncbi.nlm.nih.gov/31147980/</t>
  </si>
  <si>
    <t xml:space="preserve">S17</t>
  </si>
  <si>
    <t xml:space="preserve">Track fill rate and zeros (searches with no bookable doctor) as the north-star; do not promote a specialty x city combination until it has bookable supply.</t>
  </si>
  <si>
    <t xml:space="preserve">Directory, ops</t>
  </si>
  <si>
    <t xml:space="preserve">Fill rate is the primary marketplace metric; 80% of marketplaces studied went supply-first; Zillow seeded from public records.</t>
  </si>
  <si>
    <t xml:space="preserve">Lenny's Newsletter marketplace metrics; a16z; Andrew Chen</t>
  </si>
  <si>
    <t xml:space="preserve">https://www.lennysnewsletter.com/p/the-most-important-marketplace-metrics</t>
  </si>
  <si>
    <t xml:space="preserve">C1</t>
  </si>
  <si>
    <t xml:space="preserve">Doctor card and profile</t>
  </si>
  <si>
    <t xml:space="preserve">Every card shows the same attributes in the same order: photo, name, specialty, languages, visit types, next available, all-in price, verification state; say unknown rather than leave a gap.</t>
  </si>
  <si>
    <t xml:space="preserve">Card</t>
  </si>
  <si>
    <t xml:space="preserve">64% of sites show attributes inconsistently; testers rejected items missing an attribute their neighbours had.</t>
  </si>
  <si>
    <t xml:space="preserve">Baymard, List Item Design</t>
  </si>
  <si>
    <t xml:space="preserve">https://baymard.com/research-articles/list-item-design-ecommerce</t>
  </si>
  <si>
    <t xml:space="preserve">C2</t>
  </si>
  <si>
    <t xml:space="preserve">Visually separate each attribute (own line or style); whole card clickable, secondary actions behind a divider; key content at the reading-start corner.</t>
  </si>
  <si>
    <t xml:space="preserve">40% of sites jumble attributes; unscannable info hurt almost as much as none.</t>
  </si>
  <si>
    <t xml:space="preserve">Baymard List Item Design; NN/g Cards</t>
  </si>
  <si>
    <t xml:space="preserve">C3</t>
  </si>
  <si>
    <t xml:space="preserve">Headshot on every card; missing photo is a blocking profile defect; neutral specialty placeholder for unclaimed, never a broken image.</t>
  </si>
  <si>
    <t xml:space="preserve">Card, builder</t>
  </si>
  <si>
    <t xml:space="preserve">Profiles with photos get 60% more engagement (Healthgrades); about 2x views across 500,000 Doximity profiles.</t>
  </si>
  <si>
    <t xml:space="preserve">Healthgrades provider profiles; Doximity 500k profiles</t>
  </si>
  <si>
    <t xml:space="preserve">https://blog.doximity.com/articles/doctors-headshots-5-striking-lessons-from-500-000-physician-profiles</t>
  </si>
  <si>
    <t xml:space="preserve">C4</t>
  </si>
  <si>
    <t xml:space="preserve">Photo guidance: formal attire with white coat (scrubs plus coat for surgical and ER), plain background, no group or stock photos; a smile is optional.</t>
  </si>
  <si>
    <t xml:space="preserve">Builder photo step, admin review</t>
  </si>
  <si>
    <t xml:space="preserve">4,062-patient study: white coat rated highest (8.1/10); no significant trust difference between smiling and neutral (n=268).</t>
  </si>
  <si>
    <t xml:space="preserve">Petrilli BMJ Open 2018; Univ. Augsburg smile study</t>
  </si>
  <si>
    <t xml:space="preserve">https://bmjopen.bmj.com/content/8/5/e021239</t>
  </si>
  <si>
    <t xml:space="preserve">C5</t>
  </si>
  <si>
    <t xml:space="preserve">Show the all-in consultation price on the card and profile before Book; never a base price with fees added at checkout.</t>
  </si>
  <si>
    <t xml:space="preserve">Card, profile, checkout</t>
  </si>
  <si>
    <t xml:space="preserve">Drip pricing lowered trust and rebooking intent (n=1,000); 21% abandon when total cost is not visible early; 59% say price before care is critical.</t>
  </si>
  <si>
    <t xml:space="preserve">ACM/OECD drip pricing; Baymard; AccessOne survey</t>
  </si>
  <si>
    <t xml:space="preserve">https://oecd-opsi.org/bi-projects/full-price-information-for-consumers-what-effect-does-the-way-prices-are-displayed-have-on-online-booking-behaviour-for-holiday-homes/</t>
  </si>
  <si>
    <t xml:space="preserve">C6</t>
  </si>
  <si>
    <t xml:space="preserve">Show next available slot and Accepting new patients on the card, live from the calendar.</t>
  </si>
  <si>
    <t xml:space="preserve">Card, profile</t>
  </si>
  <si>
    <t xml:space="preserve">One-third of consumers only view doctors accepting new patients; live availability lifted web booking conversion 30% (self-reported).</t>
  </si>
  <si>
    <t xml:space="preserve">Healthgrades; Zocdoc case study</t>
  </si>
  <si>
    <t xml:space="preserve">https://www.zocdoc.com/resources/case-studies/next-level-urgent-care-increased-booking-conversion/</t>
  </si>
  <si>
    <t xml:space="preserve">C7</t>
  </si>
  <si>
    <t xml:space="preserve">Show years in practice and training as the trust signal while there are no reviews; label New to 3affya instead of empty stars.</t>
  </si>
  <si>
    <t xml:space="preserve">61% preferred a 4-star physician with 20+ years over a 5-star with four; hide star averages under 5 ratings; 55% would still consider a provider with no reviews.</t>
  </si>
  <si>
    <t xml:space="preserve">Healthgrades; Baymard ratings; Repugen 2024</t>
  </si>
  <si>
    <t xml:space="preserve">https://baymard.com/research-articles/user-ratings-distribution-summary</t>
  </si>
  <si>
    <t xml:space="preserve">C8</t>
  </si>
  <si>
    <t xml:space="preserve">Verification badge with a plain-language label (Credentials verified, with date), never an icon alone; name the board and link to the public verifier.</t>
  </si>
  <si>
    <t xml:space="preserve">Verified-buyer badge raised purchase odds 15%; 56% of consumers do not know if their doctor is certified.</t>
  </si>
  <si>
    <t xml:space="preserve">Spiegel Research Center; ABMS survey</t>
  </si>
  <si>
    <t xml:space="preserve">https://spiegel.medill.northwestern.edu/How-Online-Reviews-Influence-Sales</t>
  </si>
  <si>
    <t xml:space="preserve">C9</t>
  </si>
  <si>
    <t xml:space="preserve">Order profile blocks: card data, credentials and training, fees and visit types, availability, bio; education is the second most-weighed factor after reviews.</t>
  </si>
  <si>
    <t xml:space="preserve">Profile</t>
  </si>
  <si>
    <t xml:space="preserve">Healthgrades consumer data.</t>
  </si>
  <si>
    <t xml:space="preserve">Healthgrades provider profiles</t>
  </si>
  <si>
    <t xml:space="preserve">https://ucmscdn.healthgrades.com/d6/24/00b66c3f4fa9941593d888fae713/best-practices-for-curating-provider-profiles.pdf</t>
  </si>
  <si>
    <t xml:space="preserve">C10</t>
  </si>
  <si>
    <t xml:space="preserve">Keep the Book CTA visible without scrolling on mobile (sticky).</t>
  </si>
  <si>
    <t xml:space="preserve">Place-order and key options must sit in the first mobile viewport; users do not scroll far enough.</t>
  </si>
  <si>
    <t xml:space="preserve">Baymard, Order Review; Guest Checkout</t>
  </si>
  <si>
    <t xml:space="preserve">https://baymard.com/research-articles/make-guest-checkout-prominent</t>
  </si>
  <si>
    <t xml:space="preserve">C11</t>
  </si>
  <si>
    <t xml:space="preserve">Only authentic scarcity (a real next slot); no countdowns, no only-2-left, no strikethrough prices without a stated basis.</t>
  </si>
  <si>
    <t xml:space="preserve">Profile, checkout</t>
  </si>
  <si>
    <t xml:space="preserve">11.1% of 11k sites had dark patterns; urgency tactics trigger reactance and damage trust.</t>
  </si>
  <si>
    <t xml:space="preserve">Mathur et al. 2019; Growth.Design GoDaddy case</t>
  </si>
  <si>
    <t xml:space="preserve">https://arxiv.org/pdf/1907.07032</t>
  </si>
  <si>
    <t xml:space="preserve">C12</t>
  </si>
  <si>
    <t xml:space="preserve">Visit type (video or phone) is an explicit choice with a one-line best-for hint; do not default everyone to video. Note: Saudi rules may require video (Q1).</t>
  </si>
  <si>
    <t xml:space="preserve">Profile, slot picker</t>
  </si>
  <si>
    <t xml:space="preserve">Patients trusted phone more than video for confidentiality (72.5% vs 59.8%); phone was the top format for 46.5% (n=567).</t>
  </si>
  <si>
    <t xml:space="preserve">JMIR Human Factors 2023</t>
  </si>
  <si>
    <t xml:space="preserve">https://humanfactors.jmir.org/2023//e50740/</t>
  </si>
  <si>
    <t xml:space="preserve">C13</t>
  </si>
  <si>
    <t xml:space="preserve">Keep name, address and phone consistent with the doctor's own site.</t>
  </si>
  <si>
    <t xml:space="preserve">Profile, builder</t>
  </si>
  <si>
    <t xml:space="preserve">74.5% of patients check that a provider's details match their website.</t>
  </si>
  <si>
    <t xml:space="preserve">Repugen Patient Review Survey 2024</t>
  </si>
  <si>
    <t xml:space="preserve">https://cdn.repugen.com/src/resources/patient-review-survey-2024-v2.pdf</t>
  </si>
  <si>
    <t xml:space="preserve">U1</t>
  </si>
  <si>
    <t xml:space="preserve">Unclaimed profiles and the claim flow</t>
  </si>
  <si>
    <t xml:space="preserve">Label unclaimed profiles to patients: Unclaimed, details from public US records, not yet confirmed by the doctor, with source and date; never let them look identical to verified profiles.</t>
  </si>
  <si>
    <t xml:space="preserve">Unclaimed profile, card</t>
  </si>
  <si>
    <t xml:space="preserve">Yelp Unclaimed tag; Google Own this business; Healthgrades auto-profiles carry stale data for years.</t>
  </si>
  <si>
    <t xml:space="preserve">Yelp, Google, Healthgrades patterns</t>
  </si>
  <si>
    <t xml:space="preserve">https://pinmeto.com/blog/risks-of-not-claiming-gmb-listings</t>
  </si>
  <si>
    <t xml:space="preserve">U2</t>
  </si>
  <si>
    <t xml:space="preserve">No computed score, star row, or quality signal on unclaimed profiles; facts only, with their source.</t>
  </si>
  <si>
    <t xml:space="preserve">Unclaimed profile</t>
  </si>
  <si>
    <t xml:space="preserve">Avvo was sued within nine days of launch over algorithmic ratings built from public bar data.</t>
  </si>
  <si>
    <t xml:space="preserve">Browne v. Avvo (2007)</t>
  </si>
  <si>
    <t xml:space="preserve">https://en.wikipedia.org/wiki/Avvo</t>
  </si>
  <si>
    <t xml:space="preserve">U3</t>
  </si>
  <si>
    <t xml:space="preserve">Rank unclaimed profiles below verified ones so the first page is bookable; give them a Request this doctor path if shown at all.</t>
  </si>
  <si>
    <t xml:space="preserve">Zeros (searches with no match) are the liquidity failure to minimise; seeded supply is a bridge, not the product.</t>
  </si>
  <si>
    <t xml:space="preserve">a16z network effects; Lenny's Newsletter</t>
  </si>
  <si>
    <t xml:space="preserve">https://a16z.com/16-ways-to-measure-network-effects/</t>
  </si>
  <si>
    <t xml:space="preserve">U4</t>
  </si>
  <si>
    <t xml:space="preserve">Prominent Are you Dr X? Claim this profile, free, plus a visible This is not me / remove link.</t>
  </si>
  <si>
    <t xml:space="preserve">Unclaimed profile, claim landing</t>
  </si>
  <si>
    <t xml:space="preserve">Zocdoc claim page pattern: preview, editable sections, free, benefits, removal link.</t>
  </si>
  <si>
    <t xml:space="preserve">Zocdoc claim page</t>
  </si>
  <si>
    <t xml:space="preserve">https://www.zocdoc.com/claim/su-ho-ap</t>
  </si>
  <si>
    <t xml:space="preserve">U5</t>
  </si>
  <si>
    <t xml:space="preserve">Claim flow: free, show the already-built profile and what the doctor can edit, verify by NPI plus email OTP, promise you can always edit this.</t>
  </si>
  <si>
    <t xml:space="preserve">Claim landing</t>
  </si>
  <si>
    <t xml:space="preserve">Zocdoc and Yelp claim patterns; Doximity starts registration from an NPI stub.</t>
  </si>
  <si>
    <t xml:space="preserve">Zocdoc claim; Doximity registration</t>
  </si>
  <si>
    <t xml:space="preserve">https://support.doximity.com/hc/en-us/articles/360047630573-How-to-Register-on-Doximity</t>
  </si>
  <si>
    <t xml:space="preserve">U6</t>
  </si>
  <si>
    <t xml:space="preserve">Warn and prepare: claiming invites scrutiny; set up alerts and reply tooling at claim time (for when reviews ship).</t>
  </si>
  <si>
    <t xml:space="preserve">Claim landing, builder</t>
  </si>
  <si>
    <t xml:space="preserve">After owners claimed Yelp pages, average rating fell over 10% for more than a year.</t>
  </si>
  <si>
    <t xml:space="preserve">FIU / Information Systems Research 2026</t>
  </si>
  <si>
    <t xml:space="preserve">https://business.fiu.edu/news/2026/claiming-your-business-page-on-review-platforms-can-have-unintended-effects-on-customer-reviews-study-shows.html</t>
  </si>
  <si>
    <t xml:space="preserve">F1</t>
  </si>
  <si>
    <t xml:space="preserve">Forms and sign-in</t>
  </si>
  <si>
    <t xml:space="preserve">Labels above fields, never placeholder-only; single column; mark optional fields, not required.</t>
  </si>
  <si>
    <t xml:space="preserve">All forms</t>
  </si>
  <si>
    <t xml:space="preserve">Placeholders strain memory and are skipped by screen readers; users ignored asterisks (eyetracking).</t>
  </si>
  <si>
    <t xml:space="preserve">NN/g Placeholders; cxpartners eyetracking</t>
  </si>
  <si>
    <t xml:space="preserve">https://www.nngroup.com/articles/form-design-placeholders/</t>
  </si>
  <si>
    <t xml:space="preserve">F2</t>
  </si>
  <si>
    <t xml:space="preserve">Cut fields to the minimum; one Full name field; hide rarely used fields behind links; never re-ask for data already entered.</t>
  </si>
  <si>
    <t xml:space="preserve">Intake, checkout, builder</t>
  </si>
  <si>
    <t xml:space="preserve">Average checkout has 11.3 fields, 8 are enough; 42% typed full name into first-name; WCAG 3.3.7 Redundant Entry.</t>
  </si>
  <si>
    <t xml:space="preserve">Baymard checkout fields; W3C SC 3.3.7</t>
  </si>
  <si>
    <t xml:space="preserve">https://baymard.com/blog/checkout-flow-average-form-fields</t>
  </si>
  <si>
    <t xml:space="preserve">F3</t>
  </si>
  <si>
    <t xml:space="preserve">Group long forms into chunks of 4 to 6 fields with headings; show all steps with the current one highlighted; allow back and save-and-resume.</t>
  </si>
  <si>
    <t xml:space="preserve">Builder, intake, Stripe onboarding</t>
  </si>
  <si>
    <t xml:space="preserve">15-field form regrouped into three chunks (NN/g); wizard guidelines; users want to know steps remaining.</t>
  </si>
  <si>
    <t xml:space="preserve">NN/g Form White Space; NN/g Wizards</t>
  </si>
  <si>
    <t xml:space="preserve">https://www.nngroup.com/articles/wizards/</t>
  </si>
  <si>
    <t xml:space="preserve">F4</t>
  </si>
  <si>
    <t xml:space="preserve">Validate on blur, never on untouched fields; re-check on keystroke once an error exists; clear the error the instant it is fixed.</t>
  </si>
  <si>
    <t xml:space="preserve">31% have no inline validation; premature errors made a user feel they broke the site.</t>
  </si>
  <si>
    <t xml:space="preserve">Baymard Inline Validation; Smashing live validation</t>
  </si>
  <si>
    <t xml:space="preserve">https://baymard.com/research-articles/inline-form-validation</t>
  </si>
  <si>
    <t xml:space="preserve">F5</t>
  </si>
  <si>
    <t xml:space="preserve">Adaptive error messages that name the specific sub-rule and the fix, next to the field, in text (not colour alone); never the word invalid.</t>
  </si>
  <si>
    <t xml:space="preserve">98% of sites use generic errors; some users took 5 minutes or gave up; WCAG 3.3.1.</t>
  </si>
  <si>
    <t xml:space="preserve">Baymard Adaptive Errors; NN/g Error Messages; W3C SC 3.3.1</t>
  </si>
  <si>
    <t xml:space="preserve">https://baymard.com/blog/adaptive-validation-error-messages</t>
  </si>
  <si>
    <t xml:space="preserve">F6</t>
  </si>
  <si>
    <t xml:space="preserve">OTP: one field, inputmode numeric, autocomplete one-time-code, paste must work; never reveal whether an email exists; rate-limit instead.</t>
  </si>
  <si>
    <t xml:space="preserve">Sign-in</t>
  </si>
  <si>
    <t xml:space="preserve">WCAG 3.3.8: manual transcription fails; split boxes that reject paste are a cited failure.</t>
  </si>
  <si>
    <t xml:space="preserve">Cloud Four OTP inputs; W3C SC 3.3.8; Baymard security caveat</t>
  </si>
  <si>
    <t xml:space="preserve">https://www.w3.org/WAI/WCAG22/Understanding/accessible-authentication-minimum.html</t>
  </si>
  <si>
    <t xml:space="preserve">F7</t>
  </si>
  <si>
    <t xml:space="preserve">Replace the passive check your email screen with a provider-specific inbox link (Open Gmail).</t>
  </si>
  <si>
    <t xml:space="preserve">A/B test: +7% email confirmation rate.</t>
  </si>
  <si>
    <t xml:space="preserve">Growth.Design, Sniper Link</t>
  </si>
  <si>
    <t xml:space="preserve">https://growth.design/case-studies/sniper-link</t>
  </si>
  <si>
    <t xml:space="preserve">F8</t>
  </si>
  <si>
    <t xml:space="preserve">Right keyboard per field (email, tel, numeric); autocorrect and autocapitalise off on names, emails and codes; inputs rendered at 16 px or larger to stop iOS zoom.</t>
  </si>
  <si>
    <t xml:space="preserve">54% of sites fail keyboard types; iOS Safari auto-zooms inputs under 16 px.</t>
  </si>
  <si>
    <t xml:space="preserve">Baymard Touch Keyboards; Strahl iOS auto-zoom</t>
  </si>
  <si>
    <t xml:space="preserve">https://baymard.com/research-articles/mobile-touch-keyboards</t>
  </si>
  <si>
    <t xml:space="preserve">F9</t>
  </si>
  <si>
    <t xml:space="preserve">No login wall for browsing; ask for sign-in only at the commitment point (booking, upload).</t>
  </si>
  <si>
    <t xml:space="preserve">Sign-in, booking</t>
  </si>
  <si>
    <t xml:space="preserve">Login walls are among the most annoying patterns; delayed sign-up gave Duolingo +20% DAU; 24% abandoned carts over forced accounts.</t>
  </si>
  <si>
    <t xml:space="preserve">NN/g Login Walls; Baymard Guest Checkout</t>
  </si>
  <si>
    <t xml:space="preserve">https://www.nngroup.com/articles/login-walls/</t>
  </si>
  <si>
    <t xml:space="preserve">F10</t>
  </si>
  <si>
    <t xml:space="preserve">Phone input: GCC country codes first, LTR entry, per-country length validation; collect a backup phone and the patient's country at booking.</t>
  </si>
  <si>
    <t xml:space="preserve">Sign-up, booking</t>
  </si>
  <si>
    <t xml:space="preserve">Codex phone rules; HHS: pre-agree who calls whom if the visit disconnects, confirm location each visit.</t>
  </si>
  <si>
    <t xml:space="preserve">Wikimedia Codex bidi; HHS emergency plan</t>
  </si>
  <si>
    <t xml:space="preserve">https://doc.wikimedia.org/codex/main/style-guide/bidirectionality.html</t>
  </si>
  <si>
    <t xml:space="preserve">P1</t>
  </si>
  <si>
    <t xml:space="preserve">Booking, checkout and payment</t>
  </si>
  <si>
    <t xml:space="preserve">Full price and what it includes shown before the final step; the three lines (doctor fee, platform fee, card processing) sum to the total; nothing new at review.</t>
  </si>
  <si>
    <t xml:space="preserve">40% abandon for extra costs; 12% because total was not visible up front; average cart abandonment 70%.</t>
  </si>
  <si>
    <t xml:space="preserve">Baymard Cart Abandonment; Order Review</t>
  </si>
  <si>
    <t xml:space="preserve">https://baymard.com/lists/cart-abandonment-rate</t>
  </si>
  <si>
    <t xml:space="preserve">P2</t>
  </si>
  <si>
    <t xml:space="preserve">Linear flow: Review step with inline edit links, then a separate Confirmation; review must never look like confirmation.</t>
  </si>
  <si>
    <t xml:space="preserve">11.6% mistook review for confirmation; up to 11% abandonment.</t>
  </si>
  <si>
    <t xml:space="preserve">Baymard, Office Depot Order Review</t>
  </si>
  <si>
    <t xml:space="preserve">https://baymard.com/research-articles/office-depot-order-review-experience</t>
  </si>
  <si>
    <t xml:space="preserve">P3</t>
  </si>
  <si>
    <t xml:space="preserve">Encapsulate the card fields in a bordered box with one or two security cues inside (lock, Secured by Stripe); 3DS on for all cards.</t>
  </si>
  <si>
    <t xml:space="preserve">19% abandoned over card-data distrust (n=1,026); 33% of MENA consumers have been fraud victims; 3DS recommended for all Saudi card payments.</t>
  </si>
  <si>
    <t xml:space="preserve">Baymard Perceived Security; Checkout.com mada docs</t>
  </si>
  <si>
    <t xml:space="preserve">https://baymard.com/blog/perceived-security-of-payment-form</t>
  </si>
  <si>
    <t xml:space="preserve">P4</t>
  </si>
  <si>
    <t xml:space="preserve">Expiry as MM / YY with input mask; auto-space the card number; keep card details after an error.</t>
  </si>
  <si>
    <t xml:space="preserve">72% mismatch the printed card format; 34% clear card details on error.</t>
  </si>
  <si>
    <t xml:space="preserve">Baymard, Expiration Date Fields</t>
  </si>
  <si>
    <t xml:space="preserve">https://baymard.com/research-articles/how-to-format-expiration-date-fields</t>
  </si>
  <si>
    <t xml:space="preserve">P5</t>
  </si>
  <si>
    <t xml:space="preserve">Cancellation and refund policy visible on the checkout step itself, not only in terms.</t>
  </si>
  <si>
    <t xml:space="preserve">Checkout, profile</t>
  </si>
  <si>
    <t xml:space="preserve">Stanford: avoid surprises; common gap on telehealth sites.</t>
  </si>
  <si>
    <t xml:space="preserve">Stanford guidelines; Sesame pattern</t>
  </si>
  <si>
    <t xml:space="preserve">P6</t>
  </si>
  <si>
    <t xml:space="preserve">Every slot in the patient's local time with the zone named (3:00 PM Riyadh, GMT+3), doctor's time secondary; store UTC; recompute each render because the Gulf has no DST and the US does.</t>
  </si>
  <si>
    <t xml:space="preserve">Slot picker, confirmation, emails</t>
  </si>
  <si>
    <t xml:space="preserve">Saudi, Kuwait, Qatar, Bahrain UTC+3; UAE, Oman UTC+4; no DST in the Gulf.</t>
  </si>
  <si>
    <t xml:space="preserve">timedate.org Middle East zones; HHS</t>
  </si>
  <si>
    <t xml:space="preserve">https://timedate.org/time-zones/middle-east</t>
  </si>
  <si>
    <t xml:space="preserve">P7</t>
  </si>
  <si>
    <t xml:space="preserve">Shade weekends per country: Fri-Sat for Saudi, Kuwait, Qatar, Oman, Bahrain; Sat-Sun for UAE (since 2022); never hard-code Sat-Sun.</t>
  </si>
  <si>
    <t xml:space="preserve">Slot picker, availability editor</t>
  </si>
  <si>
    <t xml:space="preserve">UAE moved to Saturday-Sunday on 1 Jan 2022; the rest keep Sunday-Thursday weeks.</t>
  </si>
  <si>
    <t xml:space="preserve">Executive Traveller; Wikipedia Workweek</t>
  </si>
  <si>
    <t xml:space="preserve">https://www.executivetraveller.com/news/uae-switches-weekend-to-saturday-sunday</t>
  </si>
  <si>
    <t xml:space="preserve">P8</t>
  </si>
  <si>
    <t xml:space="preserve">Collect visit reason, patient age group and for-whom (self or relative) before confirming; let the doctor set lead time (2 h default) and age rules.</t>
  </si>
  <si>
    <t xml:space="preserve">Slot picker, checkout</t>
  </si>
  <si>
    <t xml:space="preserve">Wrong-fit bookings come from missing reason, age preferences and lead time (Zocdoc); Saudi families often take part in decisions, so ask, do not assume.</t>
  </si>
  <si>
    <t xml:space="preserve">Zocdoc wrong-fit bookings; Alfahmi BMC Med Ethics 2022</t>
  </si>
  <si>
    <t xml:space="preserve">https://www.zocdoc.com/blog/facts/wrong-fit-bookings-lead-quality/</t>
  </si>
  <si>
    <t xml:space="preserve">P9</t>
  </si>
  <si>
    <t xml:space="preserve">Telehealth informed consent inside the booking flow, before the first visit, recorded with how and when it was given.</t>
  </si>
  <si>
    <t xml:space="preserve">HHS: consent is typically done before the first appointment and documented.</t>
  </si>
  <si>
    <t xml:space="preserve">HHS, Obtaining informed consent</t>
  </si>
  <si>
    <t xml:space="preserve">https://telehealth.hhs.gov/providers/preparing-patients-for-telehealth/obtaining-informed-consent</t>
  </si>
  <si>
    <t xml:space="preserve">P10</t>
  </si>
  <si>
    <t xml:space="preserve">Confirmation is the peak and the end: both times, join link, add to calendar, what to prepare (device test, private room, ID), expected lead time, how to change.</t>
  </si>
  <si>
    <t xml:space="preserve">Peak-end rule; AMA pre-visit checklist (camera, mic, ~384 kbps, private well-lit room, ID).</t>
  </si>
  <si>
    <t xml:space="preserve">Laws of UX Peak-End; AMA Telehealth Playbook</t>
  </si>
  <si>
    <t xml:space="preserve">https://www.ama-assn.org/system/files/2020-10/telehealth-implementation-playbook-appendix-i3.pdf</t>
  </si>
  <si>
    <t xml:space="preserve">P11</t>
  </si>
  <si>
    <t xml:space="preserve">Never pre-select paid add-ons; label items Included or Optional; pre-select only what most patients want (reminders on).</t>
  </si>
  <si>
    <t xml:space="preserve">Checkout, settings</t>
  </si>
  <si>
    <t xml:space="preserve">Default bias used against users triggers reactance; opt-out defaults change behaviour about 5x.</t>
  </si>
  <si>
    <t xml:space="preserve">Growth.Design GoDaddy; Johnson &amp; Goldstein 2003</t>
  </si>
  <si>
    <t xml:space="preserve">https://growth.design/case-studies/godaddy-checkout-ux</t>
  </si>
  <si>
    <t xml:space="preserve">P12</t>
  </si>
  <si>
    <t xml:space="preserve">Accept Visa, Mastercard, Apple Pay and Google Pay and say so up front; expect mada-only debit cards to fail on a non-Saudi Stripe account; Apple Pay is the main Saudi path.</t>
  </si>
  <si>
    <t xml:space="preserve">Checkout, pricing, failure state</t>
  </si>
  <si>
    <t xml:space="preserve">Stripe UAE/US accounts do not take mada; outside Saudi acquiring, mada cards behave as debit cards; wallets plus mada dominate Saudi e-commerce.</t>
  </si>
  <si>
    <t xml:space="preserve">Stripe UAE methods; Checkout.com mada; SAMA</t>
  </si>
  <si>
    <t xml:space="preserve">https://www.checkout.com/docs/payments/payment-methods/mada</t>
  </si>
  <si>
    <t xml:space="preserve">P13</t>
  </si>
  <si>
    <t xml:space="preserve">Capture in full at booking (no auth-then-capture); refunds not voids.</t>
  </si>
  <si>
    <t xml:space="preserve">Checkout, refunds</t>
  </si>
  <si>
    <t xml:space="preserve">mada transactions must be captured in full; partial capture and auth-only unsupported.</t>
  </si>
  <si>
    <t xml:space="preserve">Checkout.com mada docs</t>
  </si>
  <si>
    <t xml:space="preserve">P14</t>
  </si>
  <si>
    <t xml:space="preserve">Price in the patient's currency (SAR, AED, QAR, KWD, OMR, BHD); KWD, OMR and BHD use three decimals, round to the nearest 10 fils (verify Stripe rounding).</t>
  </si>
  <si>
    <t xml:space="preserve">Pricing, checkout, receipts</t>
  </si>
  <si>
    <t xml:space="preserve">Local currency improves conversion and authorisation rates (Stripe).</t>
  </si>
  <si>
    <t xml:space="preserve">Stripe currencies</t>
  </si>
  <si>
    <t xml:space="preserve">https://docs.stripe.com/currencies</t>
  </si>
  <si>
    <t xml:space="preserve">P15</t>
  </si>
  <si>
    <t xml:space="preserve">Keep a Good Faith Estimate style breakdown in the portal after payment.</t>
  </si>
  <si>
    <t xml:space="preserve">Receipts, checkout</t>
  </si>
  <si>
    <t xml:space="preserve">US No Surprises Act: self-pay patients get a written estimate when scheduling 3+ business days ahead.</t>
  </si>
  <si>
    <t xml:space="preserve">CMS, Understanding costs in advance</t>
  </si>
  <si>
    <t xml:space="preserve">https://www.cms.gov/nosurprises/consumers/understanding-costs-in-advance</t>
  </si>
  <si>
    <t xml:space="preserve">P16</t>
  </si>
  <si>
    <t xml:space="preserve">Reminders (when they ship in January): 7 days, 1 day, and about 3 hours before; opt-in WhatsApp where allowed.</t>
  </si>
  <si>
    <t xml:space="preserve">Reminders, settings</t>
  </si>
  <si>
    <t xml:space="preserve">Digital reminders cut no-shows 21% to 15% (21 studies, 16,000+ patients); WhatsApp used by 94% in Saudi, 100% in UAE (NU-Q).</t>
  </si>
  <si>
    <t xml:space="preserve">BMJ Open 2016 meta-analysis; Zocdoc cadence; NU-Q</t>
  </si>
  <si>
    <t xml:space="preserve">https://www.zocdoc.com/blog/facts/appointments-cancellations-no-shows/</t>
  </si>
  <si>
    <t xml:space="preserve">T1</t>
  </si>
  <si>
    <t xml:space="preserve">Patient portal, records and AI summary</t>
  </si>
  <si>
    <t xml:space="preserve">View and download are the two primary portal actions; phone-first layout.</t>
  </si>
  <si>
    <t xml:space="preserve">Bookings, summary</t>
  </si>
  <si>
    <t xml:space="preserve">90% of portal users view results, 70% notes, 32% download; 51% use an app; 57% of adults use a portal.</t>
  </si>
  <si>
    <t xml:space="preserve">ONC Data Brief 69 (2022)</t>
  </si>
  <si>
    <t xml:space="preserve">https://healthit.gov/data/data-briefs/individuals-access-and-use-patient-portals-and-smartphone-health-apps-2022</t>
  </si>
  <si>
    <t xml:space="preserve">T2</t>
  </si>
  <si>
    <t xml:space="preserve">Release the summary to the patient immediately with a worry-reducing framing line; add context to abnormal flags.</t>
  </si>
  <si>
    <t xml:space="preserve">Summary viewer</t>
  </si>
  <si>
    <t xml:space="preserve">96% prefer immediate access (n=8,139); 7.5% were more worried, nearly half less; abnormal-result viewers 3x as likely to worry.</t>
  </si>
  <si>
    <t xml:space="preserve">JAMA Netw Open 2023 via UT Southwestern</t>
  </si>
  <si>
    <t xml:space="preserve">https://www.utsouthwestern.edu/newsroom/articles/year-2023/march-medical-test-results-online.html</t>
  </si>
  <si>
    <t xml:space="preserve">T3</t>
  </si>
  <si>
    <t xml:space="preserve">Separate, explicit consent before any uploaded record is processed by AI, distinct from the privacy consent; say where data is stored and processed.</t>
  </si>
  <si>
    <t xml:space="preserve">46% want permission asked before AI is used on their records, 38% notification (n=3,000, Jan 2026); UAE law restricts health data leaving the country.</t>
  </si>
  <si>
    <t xml:space="preserve">Univ. of Michigan AI consent survey; UAE ICT Health Law</t>
  </si>
  <si>
    <t xml:space="preserve">https://medresearch.umich.edu/research-news/ai-healthcare-notification-and-consent-preferences-based-us-national-survey</t>
  </si>
  <si>
    <t xml:space="preserve">T4</t>
  </si>
  <si>
    <t xml:space="preserve">Label every AI summary as AI-generated at the top with a one-tap route to a human; show Reviewed by Dr X or Not yet reviewed.</t>
  </si>
  <si>
    <t xml:space="preserve">California AB 3030 requires AI disclosure and a human route; only 54 of 100 LLM summaries reached top accuracy, 18 flagged for safety risk.</t>
  </si>
  <si>
    <t xml:space="preserve">Duane Morris on AB 3030; JAMA Netw Open 2024</t>
  </si>
  <si>
    <t xml:space="preserve">https://www.duanemorris.com/alerts/california_passes_novel_law_governing_generative_ai_healthcare_1224.html</t>
  </si>
  <si>
    <t xml:space="preserve">T5</t>
  </si>
  <si>
    <t xml:space="preserve">Not a diagnosis, does not replace the consultation: in the body of the summary, not only a footer.</t>
  </si>
  <si>
    <t xml:space="preserve">Disclaimer rates in AI health answers fell from 26% to 1% (2022 to 2025); FTC: no AI exemption.</t>
  </si>
  <si>
    <t xml:space="preserve">eMarketer on MIT Tech Review; FTC Operation AI Comply</t>
  </si>
  <si>
    <t xml:space="preserve">https://www.ftc.gov/news-events/news/press-releases/2024/09/ftc-announces-crackdown-deceptive-ai-claims-schemes</t>
  </si>
  <si>
    <t xml:space="preserve">T6</t>
  </si>
  <si>
    <t xml:space="preserve">Every statement links to its source page; explain every number (what it means, normal range); show what we know and what we do not; a something missing? link.</t>
  </si>
  <si>
    <t xml:space="preserve">CDC CCI items 15 to 17; FDA CDS: basis must be reviewable; 96% of OpenNotes patients understood notes, 6% found something missing.</t>
  </si>
  <si>
    <t xml:space="preserve">CDC Clear Communication Index; OpenNotes JGIM</t>
  </si>
  <si>
    <t xml:space="preserve">https://www.cdc.gov/ccindex/pdf/clear-communication-user-guide.pdf</t>
  </si>
  <si>
    <t xml:space="preserve">T7</t>
  </si>
  <si>
    <t xml:space="preserve">Who can see this panel on every record and share; share expiry visible; revoke in one tap.</t>
  </si>
  <si>
    <t xml:space="preserve">Over 12% withheld information from providers over privacy fears; only about 25% very confident in record privacy.</t>
  </si>
  <si>
    <t xml:space="preserve">JMIR privacy survey via Becker's</t>
  </si>
  <si>
    <t xml:space="preserve">https://www.beckershospitalreview.com/healthcare-information-technology/patient-perception-of-health-record-privacy-security-6-findings/</t>
  </si>
  <si>
    <t xml:space="preserve">T8</t>
  </si>
  <si>
    <t xml:space="preserve">Delete my uploads and Delete my account controls that state what deletion covers and what legal retention keeps.</t>
  </si>
  <si>
    <t xml:space="preserve">Settings, records</t>
  </si>
  <si>
    <t xml:space="preserve">37% think AI will make record security worse; UAE mandates 25-year retention for provider records.</t>
  </si>
  <si>
    <t xml:space="preserve">Pew 2023; Al Tamimi UAE ICT Health Law</t>
  </si>
  <si>
    <t xml:space="preserve">https://www.pewresearch.org/science/2023/02/22/60-of-americans-would-be-uncomfortable-with-provider-relying-on-ai-in-their-own-health-care/</t>
  </si>
  <si>
    <t xml:space="preserve">T9</t>
  </si>
  <si>
    <t xml:space="preserve">Notice of Privacy Practices posted prominently, plain language, effective date, complaints contact; acknowledgment captured at first use.</t>
  </si>
  <si>
    <t xml:space="preserve">Legal pages, portal</t>
  </si>
  <si>
    <t xml:space="preserve">HHS: prominently post the notice on any site about services; deliver with the first electronic service.</t>
  </si>
  <si>
    <t xml:space="preserve">HHS, Notice of Privacy Practices</t>
  </si>
  <si>
    <t xml:space="preserve">https://www.hhs.gov/hipaa/for-professionals/privacy/guidance/privacy-practices-for-protected-health-information/index.html</t>
  </si>
  <si>
    <t xml:space="preserve">T10</t>
  </si>
  <si>
    <t xml:space="preserve">Upload designed for phone photos of paper reports first; accepted formats, size limit and per-file success state visible.</t>
  </si>
  <si>
    <t xml:space="preserve">Portal upload adoption is slow when friction is high (53 uploaders in four years at one practice).</t>
  </si>
  <si>
    <t xml:space="preserve">Applied Clinical Informatics 2019</t>
  </si>
  <si>
    <t xml:space="preserve">https://vivo.weill.cornell.edu/display/pubid30970383</t>
  </si>
  <si>
    <t xml:space="preserve">T11</t>
  </si>
  <si>
    <t xml:space="preserve">Show the work during processing: a live step list (Reading page 3 of 12, Extracting diagnoses, Writing summary); no fake percentage; over 10 s show an estimate and a cancel.</t>
  </si>
  <si>
    <t xml:space="preserve">Labour illusion: users preferred a slower site that showed its work; 86% of users preferred a progress bar; never let a bar move backwards.</t>
  </si>
  <si>
    <t xml:space="preserve">Buell &amp; Norton 2011; UX Tigers progress indicators</t>
  </si>
  <si>
    <t xml:space="preserve">https://www.uxtigers.com/post/progress-indicators</t>
  </si>
  <si>
    <t xml:space="preserve">T12</t>
  </si>
  <si>
    <t xml:space="preserve">Confidentiality statement in plain Arabic at booking and in the consult lobby; never push health details through marketing channels.</t>
  </si>
  <si>
    <t xml:space="preserve">Booking, lobby, settings</t>
  </si>
  <si>
    <t xml:space="preserve">Worry about online monitoring rose from 34% to 44% across seven Arab countries (n=7,303).</t>
  </si>
  <si>
    <t xml:space="preserve">NU-Q Media Use 2019</t>
  </si>
  <si>
    <t xml:space="preserve">https://www.qatar.northwestern.edu/news/articles/2019/12-media-use-survey-2019.html</t>
  </si>
  <si>
    <t xml:space="preserve">B1</t>
  </si>
  <si>
    <t xml:space="preserve">Professional portal and profile builder</t>
  </si>
  <si>
    <t xml:space="preserve">Start from the pre-seeded stub (Find your profile), never a blank form.</t>
  </si>
  <si>
    <t xml:space="preserve">Builder, claim</t>
  </si>
  <si>
    <t xml:space="preserve">Doximity registration starts by claiming an NPI stub; about 70% of US doctors are on it.</t>
  </si>
  <si>
    <t xml:space="preserve">Doximity registration</t>
  </si>
  <si>
    <t xml:space="preserve">B2</t>
  </si>
  <si>
    <t xml:space="preserve">Required fields are only what admin will verify (NPI, licence, board, specialty, photo); everything else is complete later.</t>
  </si>
  <si>
    <t xml:space="preserve">Builder</t>
  </si>
  <si>
    <t xml:space="preserve">Practices spend about USD 2.76B a year updating directory data; 40%+ never correct their listings.</t>
  </si>
  <si>
    <t xml:space="preserve">AHA on CAQH; Healthgrades</t>
  </si>
  <si>
    <t xml:space="preserve">https://www.aha.org/node/402650</t>
  </si>
  <si>
    <t xml:space="preserve">B3</t>
  </si>
  <si>
    <t xml:space="preserve">Endowed progress: start the checklist partly filled from registry data and show steps remaining.</t>
  </si>
  <si>
    <t xml:space="preserve">Builder, Stripe onboarding</t>
  </si>
  <si>
    <t xml:space="preserve">12-stamp card with 2 free stamps completed in median 10 days vs 15; Zeigarnik effect.</t>
  </si>
  <si>
    <t xml:space="preserve">Kivetz et al. via Columbia Business School</t>
  </si>
  <si>
    <t xml:space="preserve">https://business.columbia.edu/insights/chazen-global-insights/goal-gradient-hypothesis-resurrected-purchase-acceleration</t>
  </si>
  <si>
    <t xml:space="preserve">B4</t>
  </si>
  <si>
    <t xml:space="preserve">Live preview card that renders exactly as the public card; show the benefit at the step (photos get about 2x views).</t>
  </si>
  <si>
    <t xml:space="preserve">NN/g heuristics 1 and 6; Doximity 500k-profile analysis.</t>
  </si>
  <si>
    <t xml:space="preserve">NN/g 10 Heuristics; Doximity</t>
  </si>
  <si>
    <t xml:space="preserve">https://www.nngroup.com/articles/ten-usability-heuristics/</t>
  </si>
  <si>
    <t xml:space="preserve">B5</t>
  </si>
  <si>
    <t xml:space="preserve">Deliver value before asking for effort: show the claimed card and benefits before Stripe onboarding.</t>
  </si>
  <si>
    <t xml:space="preserve">Builder, payouts</t>
  </si>
  <si>
    <t xml:space="preserve">Fogg B=MAP; reciprocity.</t>
  </si>
  <si>
    <t xml:space="preserve">Fogg Behavior Model; Growth.Design psychology</t>
  </si>
  <si>
    <t xml:space="preserve">https://behaviormodel.org/</t>
  </si>
  <si>
    <t xml:space="preserve">B6</t>
  </si>
  <si>
    <t xml:space="preserve">Structured fields, not free text: years in practice, board and status, training, languages with dialect, Accepting new patients (default off until availability is set).</t>
  </si>
  <si>
    <t xml:space="preserve">NCQA primary-source verification needs board, licence and training as separate items; one-third of patients filter on accepting.</t>
  </si>
  <si>
    <t xml:space="preserve">Verifiable on NCQA; Healthgrades</t>
  </si>
  <si>
    <t xml:space="preserve">https://verifiable.com/blog/ncqa-primary-source-verification-requirements</t>
  </si>
  <si>
    <t xml:space="preserve">B7</t>
  </si>
  <si>
    <t xml:space="preserve">Board eligible is a distinct text label, never the badge; reject board certified claims without a named ABMS/AOA board.</t>
  </si>
  <si>
    <t xml:space="preserve">Builder, admin review</t>
  </si>
  <si>
    <t xml:space="preserve">78% of consumers conflate licensure with certification; FTC treats unsubstantiated claims as deceptive.</t>
  </si>
  <si>
    <t xml:space="preserve">ABMS survey; FTC</t>
  </si>
  <si>
    <t xml:space="preserve">B8</t>
  </si>
  <si>
    <t xml:space="preserve">Membership page: three tiers, at most four attributes differing between adjacent tiers, features carry upward, all-in price and billing period up front, static comparison table.</t>
  </si>
  <si>
    <t xml:space="preserve">For professionals, membership</t>
  </si>
  <si>
    <t xml:space="preserve">Good-Better-Best (HBR 2018); NN/g comparison tables; drip pricing harms trust.</t>
  </si>
  <si>
    <t xml:space="preserve">HBR Good-Better-Best; NN/g Comparison Tables</t>
  </si>
  <si>
    <t xml:space="preserve">https://www.nngroup.com/articles/comparison-tables/</t>
  </si>
  <si>
    <t xml:space="preserve">B9</t>
  </si>
  <si>
    <t xml:space="preserve">Sell membership on patient-side outcomes with numbers: live availability (half of new patients book within 72 h), photos (2x views), fast response.</t>
  </si>
  <si>
    <t xml:space="preserve">Zocdoc patient access data; Doximity.</t>
  </si>
  <si>
    <t xml:space="preserve">Zocdoc patient access</t>
  </si>
  <si>
    <t xml:space="preserve">https://www.zocdoc.com/about/patientaccess/</t>
  </si>
  <si>
    <t xml:space="preserve">B10</t>
  </si>
  <si>
    <t xml:space="preserve">Prefer undo over confirmation for routine actions; confirmation dialogs only for irreversible actions, buttons that name the outcome (Cancel booking / Keep booking).</t>
  </si>
  <si>
    <t xml:space="preserve">Portals, admin</t>
  </si>
  <si>
    <t xml:space="preserve">Frequent confirmations train click-through.</t>
  </si>
  <si>
    <t xml:space="preserve">NN/g Confirmation Dialogs</t>
  </si>
  <si>
    <t xml:space="preserve">https://www.nngroup.com/articles/confirmation-dialog/</t>
  </si>
  <si>
    <t xml:space="preserve">A1</t>
  </si>
  <si>
    <t xml:space="preserve">Admin review and verification</t>
  </si>
  <si>
    <t xml:space="preserve">Verify licence, board certification and sanctions against primary sources (state board, ABMS, FSMB/NPDB) before Verified shows; store source, date and reviewer.</t>
  </si>
  <si>
    <t xml:space="preserve">Credential review</t>
  </si>
  <si>
    <t xml:space="preserve">NCQA primary-source verification elements.</t>
  </si>
  <si>
    <t xml:space="preserve">Verifiable on NCQA PSV</t>
  </si>
  <si>
    <t xml:space="preserve">A2</t>
  </si>
  <si>
    <t xml:space="preserve">Verified expires: schedule re-verification (licence at expiry, board per cycle) and show verified on [date] to patients.</t>
  </si>
  <si>
    <t xml:space="preserve">Credential review, listings</t>
  </si>
  <si>
    <t xml:space="preserve">NCQA recredentialing every 2 to 3 years; Stanford visible recency.</t>
  </si>
  <si>
    <t xml:space="preserve">Verifiable on NCQA; Stanford</t>
  </si>
  <si>
    <t xml:space="preserve">A3</t>
  </si>
  <si>
    <t xml:space="preserve">Queue removal requests and (later) 1-star reviews for human moderation with evidence rules; providers can never delete reviews.</t>
  </si>
  <si>
    <t xml:space="preserve">A single 1-star review was followed by a 2.3 to 2.6% drop in new-patient volume for 16+ weeks (1.12M appointments).</t>
  </si>
  <si>
    <t xml:space="preserve">AJMC 2023; Zocdoc moderation</t>
  </si>
  <si>
    <t xml:space="preserve">https://www.ajmc.com/view/the-impact-of-1-star-physician-ratings-on-new-patient-volume</t>
  </si>
  <si>
    <t xml:space="preserve">Label every paid placement Sponsored or Paid placement at the reading-start corner of each card, with shading or a border; never Featured by or a logo alone; disclose if tier affects ranking.</t>
  </si>
  <si>
    <t xml:space="preserve">Featured banner, results</t>
  </si>
  <si>
    <t xml:space="preserve">FTC native advertising guide and 2013 search-engine letter.</t>
  </si>
  <si>
    <t xml:space="preserve">FTC Native Advertising Guide</t>
  </si>
  <si>
    <t xml:space="preserve">https://www.ftc.gov/business-guidance/resources/native-advertising-guide-businesses</t>
  </si>
  <si>
    <t xml:space="preserve">Admin tables: progressive disclosure, rarely used options one level down, frequency logged.</t>
  </si>
  <si>
    <t xml:space="preserve">All admin</t>
  </si>
  <si>
    <t xml:space="preserve">NN/g progressive disclosure.</t>
  </si>
  <si>
    <t xml:space="preserve">NN/g Progressive Disclosure</t>
  </si>
  <si>
    <t xml:space="preserve">I1</t>
  </si>
  <si>
    <t xml:space="preserve">First message: this is an AI assistant, not a doctor; not a diagnosis; the 3 to 5 things it can do; emergency number for the viewer's country; persistent Talk to a human button.</t>
  </si>
  <si>
    <t xml:space="preserve">Users adjusted once they knew it was a bot; unclear scope left users stuck; AB 3030 human route; 60% uncomfortable with AI in their care.</t>
  </si>
  <si>
    <t xml:space="preserve">NN/g Chatbots; Duane Morris AB 3030; Pew 2023</t>
  </si>
  <si>
    <t xml:space="preserve">https://www.nngroup.com/articles/chatbots/</t>
  </si>
  <si>
    <t xml:space="preserve">I2</t>
  </si>
  <si>
    <t xml:space="preserve">Tappable quick replies for common answers alongside free text; tolerate typos; keep context across turns; allow going back; say I did not understand instead of guessing.</t>
  </si>
  <si>
    <t xml:space="preserve">Domino's re-asked an address; No dead-ended a Kia bot; users preferred honest failure.</t>
  </si>
  <si>
    <t xml:space="preserve">NN/g, The User Experience of Chatbots</t>
  </si>
  <si>
    <t xml:space="preserve">I3</t>
  </si>
  <si>
    <t xml:space="preserve">Never output a diagnosis or triage level; collect structured history and suggest specialties only; hand off to the doctor.</t>
  </si>
  <si>
    <t xml:space="preserve">Symptom checker RCT (n=437): top suggestion matched discharge diagnosis in 14%; over-triage 53%.</t>
  </si>
  <si>
    <t xml:space="preserve">JMIR 2024 Ada vs Symptoma</t>
  </si>
  <si>
    <t xml:space="preserve">https://www.jmir.org/2024/1/e56514</t>
  </si>
  <si>
    <t xml:space="preserve">I4</t>
  </si>
  <si>
    <t xml:space="preserve">Hard-coded red-flag detection (chest pain, stroke signs, pregnancy bleeding, self-harm) interrupts with emergency guidance and ends intake.</t>
  </si>
  <si>
    <t xml:space="preserve">Symptom checkers miss life-threatening cases; HHS requires an emergency plan.</t>
  </si>
  <si>
    <t xml:space="preserve">JMIR 2024; HHS emergency plan</t>
  </si>
  <si>
    <t xml:space="preserve">I5</t>
  </si>
  <si>
    <t xml:space="preserve">Do not collect sensitive data (date of birth, card, full address) in chat; hand off to a form.</t>
  </si>
  <si>
    <t xml:space="preserve">Participants hesitated to share birthdays, addresses and card numbers in chat.</t>
  </si>
  <si>
    <t xml:space="preserve">NN/g Chatbots</t>
  </si>
  <si>
    <t xml:space="preserve">E1</t>
  </si>
  <si>
    <t xml:space="preserve">Subject states the content (Your visit with Dr X is confirmed, 14 Nov, 6 pm Riyadh); preheader carries real info, not view in browser.</t>
  </si>
  <si>
    <t xml:space="preserve">All emails</t>
  </si>
  <si>
    <t xml:space="preserve">NN/g diary study: uninformative subjects and wasted preheaders drew the harshest comments.</t>
  </si>
  <si>
    <t xml:space="preserve">NN/g, State of Transactional Email</t>
  </si>
  <si>
    <t xml:space="preserve">https://www.nngroup.com/articles/state-transactional-email/</t>
  </si>
  <si>
    <t xml:space="preserve">E2</t>
  </si>
  <si>
    <t xml:space="preserve">Answer every likely question in the body (what, when in both zones, how to join, how to change, what to prepare); no ads; works on a small screen.</t>
  </si>
  <si>
    <t xml:space="preserve">Booking, OTP, receipts</t>
  </si>
  <si>
    <t xml:space="preserve">Users annoyed by emails that require extra work or carry sales pitches.</t>
  </si>
  <si>
    <t xml:space="preserve">E3</t>
  </si>
  <si>
    <t xml:space="preserve">Receipt mirrors the review step: total most prominent, the three lines, last 4 digits, both times, change and cancel links.</t>
  </si>
  <si>
    <t xml:space="preserve">Receipt, refund</t>
  </si>
  <si>
    <t xml:space="preserve">Baymard order-review information list.</t>
  </si>
  <si>
    <t xml:space="preserve">E4</t>
  </si>
  <si>
    <t xml:space="preserve">RTL email: dir=rtl on the table cells, Arabic at 16 px or larger, numbers and codes isolated LTR; test in Gmail and Outlook.</t>
  </si>
  <si>
    <t xml:space="preserve">W3C inline bidi; Apple +2 pt guidance.</t>
  </si>
  <si>
    <t xml:space="preserve">W3C inline bidi markup</t>
  </si>
  <si>
    <t xml:space="preserve">https://www.w3.org/International/articles/inline-bidi-markup/</t>
  </si>
  <si>
    <t xml:space="preserve">L1</t>
  </si>
  <si>
    <t xml:space="preserve">Loading, empty and error states</t>
  </si>
  <si>
    <t xml:space="preserve">Response limits: under 1 s no indicator; 1 to 10 s a content-shaped skeleton (onset after about 1 s) or a module spinner; over 10 s a progress bar with estimate and cancel.</t>
  </si>
  <si>
    <t xml:space="preserve">All screens</t>
  </si>
  <si>
    <t xml:space="preserve">Nielsen's three limits; frame-only skeletons make users think the page is broken.</t>
  </si>
  <si>
    <t xml:space="preserve">NN/g Response Times; Skeleton Screens 101</t>
  </si>
  <si>
    <t xml:space="preserve">https://www.nngroup.com/articles/response-times-3-important-limits/</t>
  </si>
  <si>
    <t xml:space="preserve">L2</t>
  </si>
  <si>
    <t xml:space="preserve">Respond to every tap within 400 ms with at least an optimistic change (filters, slot holds, chat).</t>
  </si>
  <si>
    <t xml:space="preserve">Filters, availability editor, chat</t>
  </si>
  <si>
    <t xml:space="preserve">Doherty threshold (IBM 1982).</t>
  </si>
  <si>
    <t xml:space="preserve">Laws of UX, Doherty Threshold</t>
  </si>
  <si>
    <t xml:space="preserve">https://lawsofux.com/doherty-threshold/</t>
  </si>
  <si>
    <t xml:space="preserve">L3</t>
  </si>
  <si>
    <t xml:space="preserve">Every empty state says what the container is, why it is empty, and gives one direct action; never show No records while content is still loading.</t>
  </si>
  <si>
    <t xml:space="preserve">Bookings, records, inbox, admin queues</t>
  </si>
  <si>
    <t xml:space="preserve">NN/g empty-state guidelines.</t>
  </si>
  <si>
    <t xml:space="preserve">NN/g, Designing Empty States</t>
  </si>
  <si>
    <t xml:space="preserve">https://www.nngroup.com/articles/empty-state-interface-design/</t>
  </si>
  <si>
    <t xml:space="preserve">L4</t>
  </si>
  <si>
    <t xml:space="preserve">Errors: exact problem next to the element, the fix, input preserved, no blame, no humour, no codes by default.</t>
  </si>
  <si>
    <t xml:space="preserve">NN/g error-message guidelines; WCAG 3.3.1.</t>
  </si>
  <si>
    <t xml:space="preserve">NN/g Error-Message Guidelines</t>
  </si>
  <si>
    <t xml:space="preserve">https://www.nngroup.com/articles/error-message-guidelines/</t>
  </si>
  <si>
    <t xml:space="preserve">R1</t>
  </si>
  <si>
    <t xml:space="preserve">Arabic, RTL and typography</t>
  </si>
  <si>
    <t xml:space="preserve">dir=rtl and lang=ar on html for the Arabic locale; the whole layout, nav order and alignment flip, not just the text.</t>
  </si>
  <si>
    <t xml:space="preserve">Apple HIG and Material bidirectionality.</t>
  </si>
  <si>
    <t xml:space="preserve">Apple HIG, Right to left</t>
  </si>
  <si>
    <t xml:space="preserve">https://developer.apple.com/design/human-interface-guidelines/right-to-left</t>
  </si>
  <si>
    <t xml:space="preserve">R2</t>
  </si>
  <si>
    <t xml:space="preserve">Mirror: back and next, chevrons, steppers, progress bars (0% on the right), pagination, carousels, text-alignment icons. Do not mirror: media controls, clocks, search magnifier, pencil, checkmarks, logos, card-scheme marks, photos.</t>
  </si>
  <si>
    <t xml:space="preserve">All screens, brand page</t>
  </si>
  <si>
    <t xml:space="preserve">Apple HIG, Material m1, Wikimedia Codex, Microsoft mirroring guidance agree.</t>
  </si>
  <si>
    <t xml:space="preserve">Apple HIG RTL; Material m1 Bidirectionality; Codex</t>
  </si>
  <si>
    <t xml:space="preserve">https://m1.material.io/usability/bidirectionality.html</t>
  </si>
  <si>
    <t xml:space="preserve">R3</t>
  </si>
  <si>
    <t xml:space="preserve">Never reverse digits: phone numbers, card numbers, OTP codes, booking references stay LTR, left-aligned, wrapped in dir=ltr; use bdi or dir=auto for database strings (doctor and hospital names).</t>
  </si>
  <si>
    <t xml:space="preserve">Forms, confirmation, emails, cards</t>
  </si>
  <si>
    <t xml:space="preserve">W3C: wrap every opposite-direction phrase; Codex: phone numbers never mirrored.</t>
  </si>
  <si>
    <t xml:space="preserve">W3C inline bidi; Codex</t>
  </si>
  <si>
    <t xml:space="preserve">R4</t>
  </si>
  <si>
    <t xml:space="preserve">Align 3+ line paragraphs by their own language (English bio inside an Arabic page stays left-aligned); 1 to 2 line labels follow the page direction; list items share one alignment even when some are Latin.</t>
  </si>
  <si>
    <t xml:space="preserve">Profile bio, credentials, legal</t>
  </si>
  <si>
    <t xml:space="preserve">Apple HIG RTL.</t>
  </si>
  <si>
    <t xml:space="preserve">R5</t>
  </si>
  <si>
    <t xml:space="preserve">Arabic body 16 px floor on mobile, 18 px preferred; about +2 pt when Arabic sits beside uppercase Latin; line height 1.5 or more.</t>
  </si>
  <si>
    <t xml:space="preserve">Apple +2 pt; over 60% of 73 Saudi sites set paragraphs at 12 to 16 px, judged too small; Arabic extenders need extra leading (W3C alreq).</t>
  </si>
  <si>
    <t xml:space="preserve">Apple HIG; Namoun &amp; Alkhodre 2019; W3C alreq</t>
  </si>
  <si>
    <t xml:space="preserve">https://thesai.org/Downloads/Volume10No4/Paper_72-Towards_Usability_Guidelines_for_the_Design_of_Effective_Arabic_Websites.pdf</t>
  </si>
  <si>
    <t xml:space="preserve">R6</t>
  </si>
  <si>
    <t xml:space="preserve">letter-spacing: 0 on [lang=ar]; font-synthesis: none; real Readex Pro weights; no italics for Arabic (emphasise with weight or colour); no text-align: justify.</t>
  </si>
  <si>
    <t xml:space="preserve">Brand page, all screens</t>
  </si>
  <si>
    <t xml:space="preserve">Spacing joined letters creates undesirable results (W3C alreq); browsers lack kashida justification; obliques make letters look alike.</t>
  </si>
  <si>
    <t xml:space="preserve">W3C alreq; thoughtbot obliques</t>
  </si>
  <si>
    <t xml:space="preserve">https://www.w3.org/TR/alreq/</t>
  </si>
  <si>
    <t xml:space="preserve">R7</t>
  </si>
  <si>
    <t xml:space="preserve">Never style or border individual Arabic letters (search highlighting, input masks); highlight whole words.</t>
  </si>
  <si>
    <t xml:space="preserve">Search, forms</t>
  </si>
  <si>
    <t xml:space="preserve">Joined letters must not be separated by borders (W3C alreq).</t>
  </si>
  <si>
    <t xml:space="preserve">W3C alreq</t>
  </si>
  <si>
    <t xml:space="preserve">R8</t>
  </si>
  <si>
    <t xml:space="preserve">Budget 20 to 30% extra width for Arabic strings; never put text inside images; one typeface family (Readex Pro) for both scripts.</t>
  </si>
  <si>
    <t xml:space="preserve">Nav, buttons, tabs, badges</t>
  </si>
  <si>
    <t xml:space="preserve">A 10-letter English word may become a 2 to 3 word Arabic phrase; 55% of Saudi sites mixed fonts, treated as a usability problem.</t>
  </si>
  <si>
    <t xml:space="preserve">freeCodeCamp Arabic UX; Namoun &amp; Alkhodre</t>
  </si>
  <si>
    <t xml:space="preserve">https://www.freecodecamp.org/news/designing-for-the-arab-user-basic-arabic-ux-for-business-6ff29d4c7c60/</t>
  </si>
  <si>
    <t xml:space="preserve">R9</t>
  </si>
  <si>
    <t xml:space="preserve">In Arabic, the reading-start corner is top-right: CTA, doctor name, price and next slot go there (flipped F).</t>
  </si>
  <si>
    <t xml:space="preserve">Home, results, card</t>
  </si>
  <si>
    <t xml:space="preserve">RTL readers follow a flipped F pattern; KSU eyetracking: Arabic users scanned results right to left, attention on the top two.</t>
  </si>
  <si>
    <t xml:space="preserve">NN/g F-Pattern; Al-Rashed 2010 KSU</t>
  </si>
  <si>
    <t xml:space="preserve">https://www.nngroup.com/articles/f-shaped-pattern-reading-web-content/</t>
  </si>
  <si>
    <t xml:space="preserve">R10</t>
  </si>
  <si>
    <t xml:space="preserve">Usability-test mirrored controls (sliders, steppers, calendars) with Gulf users; a native Arabic speaker proofreads rendered screens, not strings.</t>
  </si>
  <si>
    <t xml:space="preserve">Prototype review, QA</t>
  </si>
  <si>
    <t xml:space="preserve">Survey of 234 bidi speakers: preferences often did not match vendor guidelines; broken joins and reversed numbers only show when rendered.</t>
  </si>
  <si>
    <t xml:space="preserve">Goldenberg &amp; Tractinsky 2021; freeCodeCamp</t>
  </si>
  <si>
    <t xml:space="preserve">https://arxiv.org/abs/2101.08070</t>
  </si>
  <si>
    <t xml:space="preserve">R11</t>
  </si>
  <si>
    <t xml:space="preserve">Charts: numerals LTR, axis order mirrored by hand; do not trust library defaults.</t>
  </si>
  <si>
    <t xml:space="preserve">Admin dashboards, summary timeline</t>
  </si>
  <si>
    <t xml:space="preserve">11 Arabic-speaking practitioners: RTL support in chart tools is fragmented.</t>
  </si>
  <si>
    <t xml:space="preserve">Alebri et al. 2026</t>
  </si>
  <si>
    <t xml:space="preserve">https://arxiv.org/abs/2607.24571</t>
  </si>
  <si>
    <t xml:space="preserve">N1</t>
  </si>
  <si>
    <t xml:space="preserve">Numbers, dates, time and currency</t>
  </si>
  <si>
    <t xml:space="preserve">Western digits everywhere, forced in code: Intl.NumberFormat('ar-SA-u-nu-latn') and ar-AE-u-nu-latn; CLDR defaults ar-SA to Arabic-Indic digits.</t>
  </si>
  <si>
    <t xml:space="preserve">All screens, config</t>
  </si>
  <si>
    <t xml:space="preserve">Saudi is singled out as preferring Western numerals, but CLDR's default for ar-SA is native digits.</t>
  </si>
  <si>
    <t xml:space="preserve">Wikipedia Eastern Arabic numerals; CLDR-users 2019</t>
  </si>
  <si>
    <t xml:space="preserve">https://corp.unicode.org/pipermail/cldr-users/2019-April/000918.html</t>
  </si>
  <si>
    <t xml:space="preserve">N2</t>
  </si>
  <si>
    <t xml:space="preserve">Numbers run LTR inside Arabic sentences; currency sign is part of the number; percent sign left of the number with no space; eastern separators 1,234.50.</t>
  </si>
  <si>
    <t xml:space="preserve">Prices, receipts</t>
  </si>
  <si>
    <t xml:space="preserve">W3C alreq 6.1.</t>
  </si>
  <si>
    <t xml:space="preserve">N3</t>
  </si>
  <si>
    <t xml:space="preserve">Gregorian as the primary calendar; Hijri optional secondary (useful around Ramadan and Eid).</t>
  </si>
  <si>
    <t xml:space="preserve">Slot picker, confirmations, receipts</t>
  </si>
  <si>
    <t xml:space="preserve">Saudi Cabinet approved Gregorian for official dealings (31 Oct 2023); banks already used it.</t>
  </si>
  <si>
    <t xml:space="preserve">Gulf News; Arab News 2023</t>
  </si>
  <si>
    <t xml:space="preserve">https://gulfnews.com/world/gulf/saudi/saudi-arabia-adopts-gregorian-calendar-use-in-official-dealings-1.99118179</t>
  </si>
  <si>
    <t xml:space="preserve">N4</t>
  </si>
  <si>
    <t xml:space="preserve">State the format and unit beside every input (DD-MM-YYYY, SAR); default date fields to today.</t>
  </si>
  <si>
    <t xml:space="preserve">Forms, checkout</t>
  </si>
  <si>
    <t xml:space="preserve">Dubai Government Design System U.05.</t>
  </si>
  <si>
    <t xml:space="preserve">Dubai Design System usability</t>
  </si>
  <si>
    <t xml:space="preserve">https://designsystem.dubai.ae/foundations/usability-guidelines.md</t>
  </si>
  <si>
    <t xml:space="preserve">G1</t>
  </si>
  <si>
    <t xml:space="preserve">Gulf audience: trust, payments, mobile</t>
  </si>
  <si>
    <t xml:space="preserve">Arabic default, localised to full depth (bios, consent, receipts, support), not just the chrome.</t>
  </si>
  <si>
    <t xml:space="preserve">76% prefer to buy in their own language; 40% will not buy in another language (8,709 consumers, 29 countries).</t>
  </si>
  <si>
    <t xml:space="preserve">CSA Research 2020</t>
  </si>
  <si>
    <t xml:space="preserve">https://csa-research.com/Blogs-Events/CSA-in-the-Media/Press-Releases/Consumers-Prefer-their-Own-Language</t>
  </si>
  <si>
    <t xml:space="preserve">G2</t>
  </si>
  <si>
    <t xml:space="preserve">Real human photos, conservative dress, both genders, some group imagery; nothing that reads as non-local stock.</t>
  </si>
  <si>
    <t xml:space="preserve">Home, about, profiles</t>
  </si>
  <si>
    <t xml:space="preserve">Of 73 top Saudi sites, 90% include humans, 81% conservative imagery, 68% both genders.</t>
  </si>
  <si>
    <t xml:space="preserve">Namoun &amp; Alkhodre 2019</t>
  </si>
  <si>
    <t xml:space="preserve">G3</t>
  </si>
  <si>
    <t xml:space="preserve">WhatsApp click-to-chat for support and (opt-in) reminders; but never health details through it without consent.</t>
  </si>
  <si>
    <t xml:space="preserve">Contact, confirmation, settings</t>
  </si>
  <si>
    <t xml:space="preserve">WhatsApp used by 94% in Saudi, 100% in UAE; 32% name it the most private platform.</t>
  </si>
  <si>
    <t xml:space="preserve">NU-Q 2015 and 2019</t>
  </si>
  <si>
    <t xml:space="preserve">https://www.adweek.com/socialtimes/study-northwestern-qatar-whatsapp-middle-east/618962</t>
  </si>
  <si>
    <t xml:space="preserve">G4</t>
  </si>
  <si>
    <t xml:space="preserve">One-tap pre-call device check and an installation-free join; keep a phone fallback.</t>
  </si>
  <si>
    <t xml:space="preserve">Confirmation, lobby</t>
  </si>
  <si>
    <t xml:space="preserve">Saudi n=916: 92.8% preferred virtual, 20.5% had technical difficulties; n=385: about half found video visits complex.</t>
  </si>
  <si>
    <t xml:space="preserve">MDPI Healthcare 2024; Frontiers 2024</t>
  </si>
  <si>
    <t xml:space="preserve">https://www.mdpi.com/2227-9032/12/10/1001</t>
  </si>
  <si>
    <t xml:space="preserve">G5</t>
  </si>
  <si>
    <t xml:space="preserve">Design phone-first and test iOS and Android equally; Saudi traffic is 68% mobile; iOS share varies 27 to 52% by country and source.</t>
  </si>
  <si>
    <t xml:space="preserve">StatCounter Sept 2026: Saudi iOS 51.6%, UAE iOS 26.7%, Kuwait Android 51.6%.</t>
  </si>
  <si>
    <t xml:space="preserve">StatCounter</t>
  </si>
  <si>
    <t xml:space="preserve">https://gs.statcounter.com/os-market-share/mobile/saudi-arabia</t>
  </si>
  <si>
    <t xml:space="preserve">G6</t>
  </si>
  <si>
    <t xml:space="preserve">No cash on delivery or BNPL at launch; cards plus wallets only.</t>
  </si>
  <si>
    <t xml:space="preserve">COD fell to about 10% in Saudi, UAE, Kuwait; BNPL about 4%; 85% of Saudi retail payments electronic in 2025.</t>
  </si>
  <si>
    <t xml:space="preserve">Gulf Business/Checkout.com 2024; SAMA</t>
  </si>
  <si>
    <t xml:space="preserve">https://www.sama.gov.sa/en-US/News/Pages/news-1139.aspx</t>
  </si>
  <si>
    <t xml:space="preserve">G7</t>
  </si>
  <si>
    <t xml:space="preserve">Neutral respectful register (أهلاً بك); no scripted religious phrases in system copy; test with users. (No reliable source found; treat as a default.)</t>
  </si>
  <si>
    <t xml:space="preserve">All Arabic copy</t>
  </si>
  <si>
    <t xml:space="preserve">Gap in the research; practitioner default.</t>
  </si>
  <si>
    <t xml:space="preserve">None</t>
  </si>
  <si>
    <t xml:space="preserve">W1</t>
  </si>
  <si>
    <t xml:space="preserve">Accessibility (WCAG 2.2)</t>
  </si>
  <si>
    <t xml:space="preserve">Text contrast 4.5:1 or more (3:1 for 24 px+); check gold on sand and white on lagoon.</t>
  </si>
  <si>
    <t xml:space="preserve">WCAG 2.2 SC 1.4.3.</t>
  </si>
  <si>
    <t xml:space="preserve">W3C SC 1.4.3</t>
  </si>
  <si>
    <t xml:space="preserve">https://www.w3.org/WAI/WCAG22/Understanding/contrast-minimum.html</t>
  </si>
  <si>
    <t xml:space="preserve">W2</t>
  </si>
  <si>
    <t xml:space="preserve">Pointer targets at least 24x24 px; 48 px for primary mobile actions, slot buttons and chips.</t>
  </si>
  <si>
    <t xml:space="preserve">Slot picker, chips, icon buttons, chat quick replies</t>
  </si>
  <si>
    <t xml:space="preserve">WCAG 2.2 SC 2.5.8; Fitts's law; Digital.gov 48 px.</t>
  </si>
  <si>
    <t xml:space="preserve">W3C SC 2.5.8</t>
  </si>
  <si>
    <t xml:space="preserve">https://www.w3.org/WAI/WCAG22/Understanding/target-size-minimum.html</t>
  </si>
  <si>
    <t xml:space="preserve">W3</t>
  </si>
  <si>
    <t xml:space="preserve">Focus visible and never hidden by sticky headers, sticky CTAs or banners (scroll-padding).</t>
  </si>
  <si>
    <t xml:space="preserve">WCAG 2.2 SC 2.4.7 and 2.4.11.</t>
  </si>
  <si>
    <t xml:space="preserve">W3C SC 2.4.11</t>
  </si>
  <si>
    <t xml:space="preserve">https://www.w3.org/WAI/WCAG22/Understanding/focus-not-obscured-minimum.html</t>
  </si>
  <si>
    <t xml:space="preserve">W4</t>
  </si>
  <si>
    <t xml:space="preserve">Never block paste or autofill on sign-in fields; label fields so password managers can fill them.</t>
  </si>
  <si>
    <t xml:space="preserve">WCAG 2.2 SC 3.3.8.</t>
  </si>
  <si>
    <t xml:space="preserve">W3C SC 3.3.8</t>
  </si>
  <si>
    <t xml:space="preserve">Q1</t>
  </si>
  <si>
    <t xml:space="preserve">Regulatory items to settle with counsel</t>
  </si>
  <si>
    <t xml:space="preserve">Saudi: a practitioner outside the Kingdom may treat a patient inside it only under supervision of a KSA-based practitioner; teleconsultations must include video; the patient signs consent before the session; identity verified. Decide the product framing (second opinion, Saudi partner physician) with counsel.</t>
  </si>
  <si>
    <t xml:space="preserve">Scope, consent, visit types, legal pages</t>
  </si>
  <si>
    <t xml:space="preserve">Al Tamimi summary of Saudi telemedicine licensing; MOH telehealth regulations PDF (valid till March 2022, check for successor).</t>
  </si>
  <si>
    <t xml:space="preserve">Al Tamimi KSA telemedicine; Saudi MOH regulations</t>
  </si>
  <si>
    <t xml:space="preserve">https://www.tamimi.com/law-update-articles/the-regulation-and-licensing-of-telemedicine-in-saudi-arabia</t>
  </si>
  <si>
    <t xml:space="preserve">Q2</t>
  </si>
  <si>
    <t xml:space="preserve">UAE: the patient's location sets the regulator; Abu Dhabi allows telecounselling from outside the UAE but telediagnosis only between licensed facilities; DHA Telehealth Standard requires electronic consent before each consultation, Arabic and English interfaces, UAE-based servers, no remote controlled-substance prescribing.</t>
  </si>
  <si>
    <t xml:space="preserve">Scope, consent per session, architecture</t>
  </si>
  <si>
    <t xml:space="preserve">Kayrouz &amp; Associates; Al Tamimi UAE; Neelim 2026.</t>
  </si>
  <si>
    <t xml:space="preserve">Kayrouz, UAE telehealth licensing and data</t>
  </si>
  <si>
    <t xml:space="preserve">https://www.kayrouzandassociates.com/insights/licensing-and-data-rules-for-telehealth-providers-in-the-uae</t>
  </si>
  <si>
    <t xml:space="preserve">Q3</t>
  </si>
  <si>
    <t xml:space="preserve">UAE health data may not be stored, processed or transferred outside the UAE without health-authority approval (Federal Law 2 of 2019, Art. 13; fines AED 500k to 700k; 25-year retention). Plan data residency or an approval route before UAE launch.</t>
  </si>
  <si>
    <t xml:space="preserve">Architecture, privacy, records upload</t>
  </si>
  <si>
    <t xml:space="preserve">Al Tamimi; Clifford Chance 2025.</t>
  </si>
  <si>
    <t xml:space="preserve">Al Tamimi, UAE ICT Health Law</t>
  </si>
  <si>
    <t xml:space="preserve">https://tamimi.com/law-update-articles/the-federal-law-regulating-the-use-of-information-and-communication-technology-in-the-uae-healthcare-sector</t>
  </si>
  <si>
    <t xml:space="preserve">Q4</t>
  </si>
  <si>
    <t xml:space="preserve">Saudi PDPL cross-border transfer needs adequacy, standard clauses or a derogation; confirm the health-data position with counsel.</t>
  </si>
  <si>
    <t xml:space="preserve">Architecture, privacy</t>
  </si>
  <si>
    <t xml:space="preserve">Clifford Chance 2025 (does not address health data specifically).</t>
  </si>
  <si>
    <t xml:space="preserve">Clifford Chance, Data transfers UAE and KSA</t>
  </si>
  <si>
    <t xml:space="preserve">https://www.cliffordchance.com/insights/resources/blogs/talking-tech/en/articles/2025/03/doing-business-in-the-middle-east--data-transfers-in-the-uae-and-ksa.html</t>
  </si>
  <si>
    <t xml:space="preserve">Q5</t>
  </si>
  <si>
    <t xml:space="preserve">Kuwait, Qatar, Oman, Bahrain: no cross-border telemedicine rules found in this research (regulators: Kuwait MOH, QCHP, Oman MOH, NHRA). Treat as a gap for counsel.</t>
  </si>
  <si>
    <t xml:space="preserve">Scope</t>
  </si>
  <si>
    <t xml:space="preserve">Neelim 2026 covers only UAE and KSA.</t>
  </si>
  <si>
    <t xml:space="preserve">Neelim, GCC telemedicine licensing 2026</t>
  </si>
  <si>
    <t xml:space="preserve">https://neelim.com/blog/telemedicine-licensing-gcc-2026</t>
  </si>
  <si>
    <t xml:space="preserve">Q6</t>
  </si>
  <si>
    <t xml:space="preserve">California AB 3030 (from 1 Jan 2025): AI-generated patient communications about clinical information must disclose AI generation and how to reach a human, unless a licensed provider reviewed them. Apply to the summary and the intake chat regardless of state.</t>
  </si>
  <si>
    <t xml:space="preserve">Summary viewer, intake chat</t>
  </si>
  <si>
    <t xml:space="preserve">Duane Morris alert.</t>
  </si>
  <si>
    <t xml:space="preserve">Duane Morris on AB 3030</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</si>
</sst>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
      <b val="true"/>
      <sz val="11"/>
      <name val="Arial"/>
      <family val="0"/>
      <charset val="1"/>
    </font>
    <font>
      <u val="single"/>
      <sz val="9"/>
      <color rgb="FF0B5A9C"/>
      <name val="Arial"/>
      <family val="0"/>
      <charset val="1"/>
    </font>
  </fonts>
  <fills count="10">
    <fill>
      <patternFill patternType="none"/>
    </fill>
    <fill>
      <patternFill patternType="gray125"/>
    </fill>
    <fill>
      <patternFill patternType="solid">
        <fgColor rgb="FF0B5A9C"/>
        <bgColor rgb="FF008080"/>
      </patternFill>
    </fill>
    <fill>
      <patternFill patternType="solid">
        <fgColor rgb="FFDDF6FA"/>
        <bgColor rgb="FFDCEBF7"/>
      </patternFill>
    </fill>
    <fill>
      <patternFill patternType="solid">
        <fgColor rgb="FFFBFAF7"/>
        <bgColor rgb="FFF6F6F6"/>
      </patternFill>
    </fill>
    <fill>
      <patternFill patternType="solid">
        <fgColor rgb="FFFFF8E6"/>
        <bgColor rgb="FFFBFAF7"/>
      </patternFill>
    </fill>
    <fill>
      <patternFill patternType="solid">
        <fgColor rgb="FFF8EBC4"/>
        <bgColor rgb="FFEFEBE2"/>
      </patternFill>
    </fill>
    <fill>
      <patternFill patternType="solid">
        <fgColor rgb="FFDCEBF7"/>
        <bgColor rgb="FFDDF6FA"/>
      </patternFill>
    </fill>
    <fill>
      <patternFill patternType="solid">
        <fgColor rgb="FFEFEBE2"/>
        <bgColor rgb="FFF8EBC4"/>
      </patternFill>
    </fill>
    <fill>
      <patternFill patternType="solid">
        <fgColor rgb="FFF6F6F6"/>
        <bgColor rgb="FFFBFAF7"/>
      </patternFill>
    </fill>
  </fills>
  <borders count="2">
    <border diagonalUp="false" diagonalDown="false">
      <left/>
      <right/>
      <top/>
      <bottom/>
      <diagonal/>
    </border>
    <border diagonalUp="false" diagonalDown="false">
      <left style="thin">
        <color rgb="FFE2DCCE"/>
      </left>
      <right style="thin">
        <color rgb="FFE2DCCE"/>
      </right>
      <top style="thin">
        <color rgb="FFE2DCCE"/>
      </top>
      <bottom style="thin">
        <color rgb="FFE2DC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B5A9C"/>
          <bgColor rgb="FF000000"/>
        </patternFill>
      </fill>
    </dxf>
    <dxf>
      <fill>
        <patternFill patternType="solid">
          <bgColor rgb="FF000000"/>
        </patternFill>
      </fill>
    </dxf>
    <dxf>
      <fill>
        <patternFill patternType="solid">
          <fgColor rgb="FFFFFFFF"/>
          <bgColor rgb="FF000000"/>
        </patternFill>
      </fill>
    </dxf>
    <dxf>
      <fill>
        <patternFill patternType="solid">
          <fgColor rgb="FFDCEBF7"/>
          <bgColor rgb="FF000000"/>
        </patternFill>
      </fill>
    </dxf>
    <dxf>
      <fill>
        <patternFill patternType="solid">
          <fgColor rgb="FFDDF6FA"/>
          <bgColor rgb="FF000000"/>
        </patternFill>
      </fill>
    </dxf>
    <dxf>
      <fill>
        <patternFill patternType="solid">
          <fgColor rgb="FFEFEBE2"/>
          <bgColor rgb="FF000000"/>
        </patternFill>
      </fill>
    </dxf>
    <dxf>
      <fill>
        <patternFill patternType="solid">
          <fgColor rgb="FFF6F6F6"/>
          <bgColor rgb="FF000000"/>
        </patternFill>
      </fill>
    </dxf>
    <dxf>
      <fill>
        <patternFill patternType="solid">
          <fgColor rgb="FFF8EBC4"/>
          <bgColor rgb="FF000000"/>
        </patternFill>
      </fill>
    </dxf>
    <dxf>
      <fill>
        <patternFill patternType="solid">
          <fgColor rgb="FFFBFAF7"/>
          <bgColor rgb="FF000000"/>
        </patternFill>
      </fill>
    </dxf>
    <dxf>
      <fill>
        <patternFill patternType="solid">
          <fgColor rgb="FFFFF8E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BFAF7"/>
      <rgbColor rgb="FF808080"/>
      <rgbColor rgb="FF9999FF"/>
      <rgbColor rgb="FF993366"/>
      <rgbColor rgb="FFFFF8E6"/>
      <rgbColor rgb="FFDDF6FA"/>
      <rgbColor rgb="FF660066"/>
      <rgbColor rgb="FFFF8080"/>
      <rgbColor rgb="FF0B5A9C"/>
      <rgbColor rgb="FFE2DCCE"/>
      <rgbColor rgb="FF000080"/>
      <rgbColor rgb="FFFF00FF"/>
      <rgbColor rgb="FFFFFF00"/>
      <rgbColor rgb="FF00FFFF"/>
      <rgbColor rgb="FF800080"/>
      <rgbColor rgb="FF800000"/>
      <rgbColor rgb="FF008080"/>
      <rgbColor rgb="FF0000FF"/>
      <rgbColor rgb="FF00CCFF"/>
      <rgbColor rgb="FFDCEBF7"/>
      <rgbColor rgb="FFEFEBE2"/>
      <rgbColor rgb="FFF8EBC4"/>
      <rgbColor rgb="FF99CCFF"/>
      <rgbColor rgb="FFFF99CC"/>
      <rgbColor rgb="FFCC99FF"/>
      <rgbColor rgb="FFF6F6F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nngroup.com/articles/scrolling-and-attention/" TargetMode="External"/><Relationship Id="rId2" Type="http://schemas.openxmlformats.org/officeDocument/2006/relationships/hyperlink" Target="https://www.nngroup.com/articles/homepage-design-principles/" TargetMode="External"/><Relationship Id="rId3" Type="http://schemas.openxmlformats.org/officeDocument/2006/relationships/hyperlink" Target="https://www.nngroup.com/articles/f-shaped-pattern-reading-web-content-discovered/" TargetMode="External"/><Relationship Id="rId4" Type="http://schemas.openxmlformats.org/officeDocument/2006/relationships/hyperlink" Target="https://www.nngroup.com/articles/photos-as-web-content/" TargetMode="External"/><Relationship Id="rId5" Type="http://schemas.openxmlformats.org/officeDocument/2006/relationships/hyperlink" Target="https://www.nngroup.com/articles/hamburger-menus/" TargetMode="External"/><Relationship Id="rId6" Type="http://schemas.openxmlformats.org/officeDocument/2006/relationships/hyperlink" Target="https://www.nngroup.com/articles/social-proof-ux/" TargetMode="External"/><Relationship Id="rId7" Type="http://schemas.openxmlformats.org/officeDocument/2006/relationships/hyperlink" Target="https://doaj.org/article/30019e7bdeea4028b38558d51565cb57" TargetMode="External"/><Relationship Id="rId8" Type="http://schemas.openxmlformats.org/officeDocument/2006/relationships/hyperlink" Target="https://www.abderm.org/media/40431/abms-2010-consumer-survey.pdf" TargetMode="External"/><Relationship Id="rId9" Type="http://schemas.openxmlformats.org/officeDocument/2006/relationships/hyperlink" Target="https://credibility.stanford.edu/guidelines" TargetMode="External"/><Relationship Id="rId10" Type="http://schemas.openxmlformats.org/officeDocument/2006/relationships/hyperlink" Target="https://www.w3.org/International/questions/qa-navigation-select" TargetMode="External"/><Relationship Id="rId11" Type="http://schemas.openxmlformats.org/officeDocument/2006/relationships/hyperlink" Target="https://www.nngroup.com/videos/illusion-completeness/" TargetMode="External"/><Relationship Id="rId12" Type="http://schemas.openxmlformats.org/officeDocument/2006/relationships/hyperlink" Target="https://web.dev/articles/lcp" TargetMode="External"/><Relationship Id="rId13" Type="http://schemas.openxmlformats.org/officeDocument/2006/relationships/hyperlink" Target="https://www.jmir.org/2024/1/e51672" TargetMode="External"/><Relationship Id="rId14" Type="http://schemas.openxmlformats.org/officeDocument/2006/relationships/hyperlink" Target="https://telehealth.hhs.gov/providers/preparing-patients-for-telehealth/creating-an-emergency-plan" TargetMode="External"/><Relationship Id="rId15" Type="http://schemas.openxmlformats.org/officeDocument/2006/relationships/hyperlink" Target="https://formative.jmir.org/2023/1/e46446" TargetMode="External"/><Relationship Id="rId16" Type="http://schemas.openxmlformats.org/officeDocument/2006/relationships/hyperlink" Target="https://www.nngroup.com/articles/writing-for-lower-literacy-users/" TargetMode="External"/><Relationship Id="rId17" Type="http://schemas.openxmlformats.org/officeDocument/2006/relationships/hyperlink" Target="https://www.nngroup.com/articles/writing-for-lower-literacy-users/" TargetMode="External"/><Relationship Id="rId18" Type="http://schemas.openxmlformats.org/officeDocument/2006/relationships/hyperlink" Target="https://www.certificationmatters.org/" TargetMode="External"/><Relationship Id="rId19" Type="http://schemas.openxmlformats.org/officeDocument/2006/relationships/hyperlink" Target="https://credibility.stanford.edu/guidelines" TargetMode="External"/><Relationship Id="rId20" Type="http://schemas.openxmlformats.org/officeDocument/2006/relationships/hyperlink" Target="https://www.nngroup.com/articles/progressive-disclosure/" TargetMode="External"/><Relationship Id="rId21" Type="http://schemas.openxmlformats.org/officeDocument/2006/relationships/hyperlink" Target="https://lawsofux.com/hicks-law/" TargetMode="External"/><Relationship Id="rId22" Type="http://schemas.openxmlformats.org/officeDocument/2006/relationships/hyperlink" Target="https://econsultancy.com/want-more-sales-give-consumers-fewer-options/" TargetMode="External"/><Relationship Id="rId23" Type="http://schemas.openxmlformats.org/officeDocument/2006/relationships/hyperlink" Target="https://baymard.com/research-articles/autocomplete-design" TargetMode="External"/><Relationship Id="rId24" Type="http://schemas.openxmlformats.org/officeDocument/2006/relationships/hyperlink" Target="https://baymard.com/research-articles/offer-autocomplete-suggestions-for-misspellings" TargetMode="External"/><Relationship Id="rId25" Type="http://schemas.openxmlformats.org/officeDocument/2006/relationships/hyperlink" Target="https://baymard.com/research-articles/mobile-search-submit-button" TargetMode="External"/><Relationship Id="rId26" Type="http://schemas.openxmlformats.org/officeDocument/2006/relationships/hyperlink" Target="https://baymard.com/research-articles/default-sort-type" TargetMode="External"/><Relationship Id="rId27" Type="http://schemas.openxmlformats.org/officeDocument/2006/relationships/hyperlink" Target="https://www.smashingmagazine.com/2016/03/pagination-infinite-scrolling-load-more-buttons/" TargetMode="External"/><Relationship Id="rId28" Type="http://schemas.openxmlformats.org/officeDocument/2006/relationships/hyperlink" Target="https://baymard.com/research-articles/no-results-page" TargetMode="External"/><Relationship Id="rId29" Type="http://schemas.openxmlformats.org/officeDocument/2006/relationships/hyperlink" Target="https://baymard.com/research-articles/have-filters-for-list-item-info" TargetMode="External"/><Relationship Id="rId30" Type="http://schemas.openxmlformats.org/officeDocument/2006/relationships/hyperlink" Target="https://doaj.org/article/e3139a066bae43858880c1712e6cd4cc" TargetMode="External"/><Relationship Id="rId31" Type="http://schemas.openxmlformats.org/officeDocument/2006/relationships/hyperlink" Target="https://baymard.com/research-articles/allow-applying-of-multiple-filter-values" TargetMode="External"/><Relationship Id="rId32" Type="http://schemas.openxmlformats.org/officeDocument/2006/relationships/hyperlink" Target="https://www.nngroup.com/articles/applying-filters/" TargetMode="External"/><Relationship Id="rId33" Type="http://schemas.openxmlformats.org/officeDocument/2006/relationships/hyperlink" Target="https://baymard.com/guidelines/1125-apply-buttons-in-mobile-filtering-interfaces" TargetMode="External"/><Relationship Id="rId34" Type="http://schemas.openxmlformats.org/officeDocument/2006/relationships/hyperlink" Target="https://baymard.com/blog/how-to-design-applied-filters" TargetMode="External"/><Relationship Id="rId35" Type="http://schemas.openxmlformats.org/officeDocument/2006/relationships/hyperlink" Target="https://baymard.com/research-articles/truncation-design" TargetMode="External"/><Relationship Id="rId36" Type="http://schemas.openxmlformats.org/officeDocument/2006/relationships/hyperlink" Target="https://www.nngroup.com/articles/cards-component/" TargetMode="External"/><Relationship Id="rId37" Type="http://schemas.openxmlformats.org/officeDocument/2006/relationships/hyperlink" Target="https://www.nngroup.com/articles/breadcrumbs/" TargetMode="External"/><Relationship Id="rId38" Type="http://schemas.openxmlformats.org/officeDocument/2006/relationships/hyperlink" Target="https://pubmed.ncbi.nlm.nih.gov/31147980/" TargetMode="External"/><Relationship Id="rId39" Type="http://schemas.openxmlformats.org/officeDocument/2006/relationships/hyperlink" Target="https://www.lennysnewsletter.com/p/the-most-important-marketplace-metrics" TargetMode="External"/><Relationship Id="rId40" Type="http://schemas.openxmlformats.org/officeDocument/2006/relationships/hyperlink" Target="https://baymard.com/research-articles/list-item-design-ecommerce" TargetMode="External"/><Relationship Id="rId41" Type="http://schemas.openxmlformats.org/officeDocument/2006/relationships/hyperlink" Target="https://www.nngroup.com/articles/cards-component/" TargetMode="External"/><Relationship Id="rId42" Type="http://schemas.openxmlformats.org/officeDocument/2006/relationships/hyperlink" Target="https://blog.doximity.com/articles/doctors-headshots-5-striking-lessons-from-500-000-physician-profiles" TargetMode="External"/><Relationship Id="rId43" Type="http://schemas.openxmlformats.org/officeDocument/2006/relationships/hyperlink" Target="https://bmjopen.bmj.com/content/8/5/e021239" TargetMode="External"/><Relationship Id="rId44" Type="http://schemas.openxmlformats.org/officeDocument/2006/relationships/hyperlink" Target="https://oecd-opsi.org/bi-projects/full-price-information-for-consumers-what-effect-does-the-way-prices-are-displayed-have-on-online-booking-behaviour-for-holiday-homes/" TargetMode="External"/><Relationship Id="rId45" Type="http://schemas.openxmlformats.org/officeDocument/2006/relationships/hyperlink" Target="https://www.zocdoc.com/resources/case-studies/next-level-urgent-care-increased-booking-conversion/" TargetMode="External"/><Relationship Id="rId46" Type="http://schemas.openxmlformats.org/officeDocument/2006/relationships/hyperlink" Target="https://baymard.com/research-articles/user-ratings-distribution-summary" TargetMode="External"/><Relationship Id="rId47" Type="http://schemas.openxmlformats.org/officeDocument/2006/relationships/hyperlink" Target="https://spiegel.medill.northwestern.edu/How-Online-Reviews-Influence-Sales" TargetMode="External"/><Relationship Id="rId48" Type="http://schemas.openxmlformats.org/officeDocument/2006/relationships/hyperlink" Target="https://ucmscdn.healthgrades.com/d6/24/00b66c3f4fa9941593d888fae713/best-practices-for-curating-provider-profiles.pdf" TargetMode="External"/><Relationship Id="rId49" Type="http://schemas.openxmlformats.org/officeDocument/2006/relationships/hyperlink" Target="https://baymard.com/research-articles/make-guest-checkout-prominent" TargetMode="External"/><Relationship Id="rId50" Type="http://schemas.openxmlformats.org/officeDocument/2006/relationships/hyperlink" Target="https://arxiv.org/pdf/1907.07032" TargetMode="External"/><Relationship Id="rId51" Type="http://schemas.openxmlformats.org/officeDocument/2006/relationships/hyperlink" Target="https://humanfactors.jmir.org/2023//e50740/" TargetMode="External"/><Relationship Id="rId52" Type="http://schemas.openxmlformats.org/officeDocument/2006/relationships/hyperlink" Target="https://cdn.repugen.com/src/resources/patient-review-survey-2024-v2.pdf" TargetMode="External"/><Relationship Id="rId53" Type="http://schemas.openxmlformats.org/officeDocument/2006/relationships/hyperlink" Target="https://pinmeto.com/blog/risks-of-not-claiming-gmb-listings" TargetMode="External"/><Relationship Id="rId54" Type="http://schemas.openxmlformats.org/officeDocument/2006/relationships/hyperlink" Target="https://en.wikipedia.org/wiki/Avvo" TargetMode="External"/><Relationship Id="rId55" Type="http://schemas.openxmlformats.org/officeDocument/2006/relationships/hyperlink" Target="https://a16z.com/16-ways-to-measure-network-effects/" TargetMode="External"/><Relationship Id="rId56" Type="http://schemas.openxmlformats.org/officeDocument/2006/relationships/hyperlink" Target="https://www.zocdoc.com/claim/su-ho-ap" TargetMode="External"/><Relationship Id="rId57" Type="http://schemas.openxmlformats.org/officeDocument/2006/relationships/hyperlink" Target="https://support.doximity.com/hc/en-us/articles/360047630573-How-to-Register-on-Doximity" TargetMode="External"/><Relationship Id="rId58" Type="http://schemas.openxmlformats.org/officeDocument/2006/relationships/hyperlink" Target="https://business.fiu.edu/news/2026/claiming-your-business-page-on-review-platforms-can-have-unintended-effects-on-customer-reviews-study-shows.html" TargetMode="External"/><Relationship Id="rId59" Type="http://schemas.openxmlformats.org/officeDocument/2006/relationships/hyperlink" Target="https://www.nngroup.com/articles/form-design-placeholders/" TargetMode="External"/><Relationship Id="rId60" Type="http://schemas.openxmlformats.org/officeDocument/2006/relationships/hyperlink" Target="https://baymard.com/blog/checkout-flow-average-form-fields" TargetMode="External"/><Relationship Id="rId61" Type="http://schemas.openxmlformats.org/officeDocument/2006/relationships/hyperlink" Target="https://www.nngroup.com/articles/wizards/" TargetMode="External"/><Relationship Id="rId62" Type="http://schemas.openxmlformats.org/officeDocument/2006/relationships/hyperlink" Target="https://baymard.com/research-articles/inline-form-validation" TargetMode="External"/><Relationship Id="rId63" Type="http://schemas.openxmlformats.org/officeDocument/2006/relationships/hyperlink" Target="https://baymard.com/blog/adaptive-validation-error-messages" TargetMode="External"/><Relationship Id="rId64" Type="http://schemas.openxmlformats.org/officeDocument/2006/relationships/hyperlink" Target="https://www.w3.org/WAI/WCAG22/Understanding/accessible-authentication-minimum.html" TargetMode="External"/><Relationship Id="rId65" Type="http://schemas.openxmlformats.org/officeDocument/2006/relationships/hyperlink" Target="https://growth.design/case-studies/sniper-link" TargetMode="External"/><Relationship Id="rId66" Type="http://schemas.openxmlformats.org/officeDocument/2006/relationships/hyperlink" Target="https://baymard.com/research-articles/mobile-touch-keyboards" TargetMode="External"/><Relationship Id="rId67" Type="http://schemas.openxmlformats.org/officeDocument/2006/relationships/hyperlink" Target="https://www.nngroup.com/articles/login-walls/" TargetMode="External"/><Relationship Id="rId68" Type="http://schemas.openxmlformats.org/officeDocument/2006/relationships/hyperlink" Target="https://doc.wikimedia.org/codex/main/style-guide/bidirectionality.html" TargetMode="External"/><Relationship Id="rId69" Type="http://schemas.openxmlformats.org/officeDocument/2006/relationships/hyperlink" Target="https://baymard.com/lists/cart-abandonment-rate" TargetMode="External"/><Relationship Id="rId70" Type="http://schemas.openxmlformats.org/officeDocument/2006/relationships/hyperlink" Target="https://baymard.com/research-articles/office-depot-order-review-experience" TargetMode="External"/><Relationship Id="rId71" Type="http://schemas.openxmlformats.org/officeDocument/2006/relationships/hyperlink" Target="https://baymard.com/blog/perceived-security-of-payment-form" TargetMode="External"/><Relationship Id="rId72" Type="http://schemas.openxmlformats.org/officeDocument/2006/relationships/hyperlink" Target="https://baymard.com/research-articles/how-to-format-expiration-date-fields" TargetMode="External"/><Relationship Id="rId73" Type="http://schemas.openxmlformats.org/officeDocument/2006/relationships/hyperlink" Target="https://credibility.stanford.edu/guidelines" TargetMode="External"/><Relationship Id="rId74" Type="http://schemas.openxmlformats.org/officeDocument/2006/relationships/hyperlink" Target="https://timedate.org/time-zones/middle-east" TargetMode="External"/><Relationship Id="rId75" Type="http://schemas.openxmlformats.org/officeDocument/2006/relationships/hyperlink" Target="https://www.executivetraveller.com/news/uae-switches-weekend-to-saturday-sunday" TargetMode="External"/><Relationship Id="rId76" Type="http://schemas.openxmlformats.org/officeDocument/2006/relationships/hyperlink" Target="https://www.zocdoc.com/blog/facts/wrong-fit-bookings-lead-quality/" TargetMode="External"/><Relationship Id="rId77" Type="http://schemas.openxmlformats.org/officeDocument/2006/relationships/hyperlink" Target="https://telehealth.hhs.gov/providers/preparing-patients-for-telehealth/obtaining-informed-consent" TargetMode="External"/><Relationship Id="rId78" Type="http://schemas.openxmlformats.org/officeDocument/2006/relationships/hyperlink" Target="https://www.ama-assn.org/system/files/2020-10/telehealth-implementation-playbook-appendix-i3.pdf" TargetMode="External"/><Relationship Id="rId79" Type="http://schemas.openxmlformats.org/officeDocument/2006/relationships/hyperlink" Target="https://growth.design/case-studies/godaddy-checkout-ux" TargetMode="External"/><Relationship Id="rId80" Type="http://schemas.openxmlformats.org/officeDocument/2006/relationships/hyperlink" Target="https://www.checkout.com/docs/payments/payment-methods/mada" TargetMode="External"/><Relationship Id="rId81" Type="http://schemas.openxmlformats.org/officeDocument/2006/relationships/hyperlink" Target="https://www.checkout.com/docs/payments/payment-methods/mada" TargetMode="External"/><Relationship Id="rId82" Type="http://schemas.openxmlformats.org/officeDocument/2006/relationships/hyperlink" Target="https://docs.stripe.com/currencies" TargetMode="External"/><Relationship Id="rId83" Type="http://schemas.openxmlformats.org/officeDocument/2006/relationships/hyperlink" Target="https://www.cms.gov/nosurprises/consumers/understanding-costs-in-advance" TargetMode="External"/><Relationship Id="rId84" Type="http://schemas.openxmlformats.org/officeDocument/2006/relationships/hyperlink" Target="https://www.zocdoc.com/blog/facts/appointments-cancellations-no-shows/" TargetMode="External"/><Relationship Id="rId85" Type="http://schemas.openxmlformats.org/officeDocument/2006/relationships/hyperlink" Target="https://healthit.gov/data/data-briefs/individuals-access-and-use-patient-portals-and-smartphone-health-apps-2022" TargetMode="External"/><Relationship Id="rId86" Type="http://schemas.openxmlformats.org/officeDocument/2006/relationships/hyperlink" Target="https://www.utsouthwestern.edu/newsroom/articles/year-2023/march-medical-test-results-online.html" TargetMode="External"/><Relationship Id="rId87" Type="http://schemas.openxmlformats.org/officeDocument/2006/relationships/hyperlink" Target="https://medresearch.umich.edu/research-news/ai-healthcare-notification-and-consent-preferences-based-us-national-survey" TargetMode="External"/><Relationship Id="rId88" Type="http://schemas.openxmlformats.org/officeDocument/2006/relationships/hyperlink" Target="https://www.duanemorris.com/alerts/california_passes_novel_law_governing_generative_ai_healthcare_1224.html" TargetMode="External"/><Relationship Id="rId89" Type="http://schemas.openxmlformats.org/officeDocument/2006/relationships/hyperlink" Target="https://www.ftc.gov/news-events/news/press-releases/2024/09/ftc-announces-crackdown-deceptive-ai-claims-schemes" TargetMode="External"/><Relationship Id="rId90" Type="http://schemas.openxmlformats.org/officeDocument/2006/relationships/hyperlink" Target="https://www.cdc.gov/ccindex/pdf/clear-communication-user-guide.pdf" TargetMode="External"/><Relationship Id="rId91" Type="http://schemas.openxmlformats.org/officeDocument/2006/relationships/hyperlink" Target="https://www.beckershospitalreview.com/healthcare-information-technology/patient-perception-of-health-record-privacy-security-6-findings/" TargetMode="External"/><Relationship Id="rId92" Type="http://schemas.openxmlformats.org/officeDocument/2006/relationships/hyperlink" Target="https://www.pewresearch.org/science/2023/02/22/60-of-americans-would-be-uncomfortable-with-provider-relying-on-ai-in-their-own-health-care/" TargetMode="External"/><Relationship Id="rId93" Type="http://schemas.openxmlformats.org/officeDocument/2006/relationships/hyperlink" Target="https://www.hhs.gov/hipaa/for-professionals/privacy/guidance/privacy-practices-for-protected-health-information/index.html" TargetMode="External"/><Relationship Id="rId94" Type="http://schemas.openxmlformats.org/officeDocument/2006/relationships/hyperlink" Target="https://vivo.weill.cornell.edu/display/pubid30970383" TargetMode="External"/><Relationship Id="rId95" Type="http://schemas.openxmlformats.org/officeDocument/2006/relationships/hyperlink" Target="https://www.uxtigers.com/post/progress-indicators" TargetMode="External"/><Relationship Id="rId96" Type="http://schemas.openxmlformats.org/officeDocument/2006/relationships/hyperlink" Target="https://www.qatar.northwestern.edu/news/articles/2019/12-media-use-survey-2019.html" TargetMode="External"/><Relationship Id="rId97" Type="http://schemas.openxmlformats.org/officeDocument/2006/relationships/hyperlink" Target="https://support.doximity.com/hc/en-us/articles/360047630573-How-to-Register-on-Doximity" TargetMode="External"/><Relationship Id="rId98" Type="http://schemas.openxmlformats.org/officeDocument/2006/relationships/hyperlink" Target="https://www.aha.org/node/402650" TargetMode="External"/><Relationship Id="rId99" Type="http://schemas.openxmlformats.org/officeDocument/2006/relationships/hyperlink" Target="https://business.columbia.edu/insights/chazen-global-insights/goal-gradient-hypothesis-resurrected-purchase-acceleration" TargetMode="External"/><Relationship Id="rId100" Type="http://schemas.openxmlformats.org/officeDocument/2006/relationships/hyperlink" Target="https://www.nngroup.com/articles/ten-usability-heuristics/" TargetMode="External"/><Relationship Id="rId101" Type="http://schemas.openxmlformats.org/officeDocument/2006/relationships/hyperlink" Target="https://behaviormodel.org/" TargetMode="External"/><Relationship Id="rId102" Type="http://schemas.openxmlformats.org/officeDocument/2006/relationships/hyperlink" Target="https://verifiable.com/blog/ncqa-primary-source-verification-requirements" TargetMode="External"/><Relationship Id="rId103" Type="http://schemas.openxmlformats.org/officeDocument/2006/relationships/hyperlink" Target="https://www.abderm.org/media/40431/abms-2010-consumer-survey.pdf" TargetMode="External"/><Relationship Id="rId104" Type="http://schemas.openxmlformats.org/officeDocument/2006/relationships/hyperlink" Target="https://www.nngroup.com/articles/comparison-tables/" TargetMode="External"/><Relationship Id="rId105" Type="http://schemas.openxmlformats.org/officeDocument/2006/relationships/hyperlink" Target="https://www.zocdoc.com/about/patientaccess/" TargetMode="External"/><Relationship Id="rId106" Type="http://schemas.openxmlformats.org/officeDocument/2006/relationships/hyperlink" Target="https://www.nngroup.com/articles/confirmation-dialog/" TargetMode="External"/><Relationship Id="rId107" Type="http://schemas.openxmlformats.org/officeDocument/2006/relationships/hyperlink" Target="https://verifiable.com/blog/ncqa-primary-source-verification-requirements" TargetMode="External"/><Relationship Id="rId108" Type="http://schemas.openxmlformats.org/officeDocument/2006/relationships/hyperlink" Target="https://credibility.stanford.edu/guidelines" TargetMode="External"/><Relationship Id="rId109" Type="http://schemas.openxmlformats.org/officeDocument/2006/relationships/hyperlink" Target="https://www.ajmc.com/view/the-impact-of-1-star-physician-ratings-on-new-patient-volume" TargetMode="External"/><Relationship Id="rId110" Type="http://schemas.openxmlformats.org/officeDocument/2006/relationships/hyperlink" Target="https://www.ftc.gov/business-guidance/resources/native-advertising-guide-businesses" TargetMode="External"/><Relationship Id="rId111" Type="http://schemas.openxmlformats.org/officeDocument/2006/relationships/hyperlink" Target="https://www.nngroup.com/articles/progressive-disclosure/" TargetMode="External"/><Relationship Id="rId112" Type="http://schemas.openxmlformats.org/officeDocument/2006/relationships/hyperlink" Target="https://www.nngroup.com/articles/chatbots/" TargetMode="External"/><Relationship Id="rId113" Type="http://schemas.openxmlformats.org/officeDocument/2006/relationships/hyperlink" Target="https://www.nngroup.com/articles/chatbots/" TargetMode="External"/><Relationship Id="rId114" Type="http://schemas.openxmlformats.org/officeDocument/2006/relationships/hyperlink" Target="https://www.jmir.org/2024/1/e56514" TargetMode="External"/><Relationship Id="rId115" Type="http://schemas.openxmlformats.org/officeDocument/2006/relationships/hyperlink" Target="https://www.jmir.org/2024/1/e56514" TargetMode="External"/><Relationship Id="rId116" Type="http://schemas.openxmlformats.org/officeDocument/2006/relationships/hyperlink" Target="https://www.nngroup.com/articles/chatbots/" TargetMode="External"/><Relationship Id="rId117" Type="http://schemas.openxmlformats.org/officeDocument/2006/relationships/hyperlink" Target="https://www.nngroup.com/articles/state-transactional-email/" TargetMode="External"/><Relationship Id="rId118" Type="http://schemas.openxmlformats.org/officeDocument/2006/relationships/hyperlink" Target="https://www.nngroup.com/articles/state-transactional-email/" TargetMode="External"/><Relationship Id="rId119" Type="http://schemas.openxmlformats.org/officeDocument/2006/relationships/hyperlink" Target="https://baymard.com/research-articles/office-depot-order-review-experience" TargetMode="External"/><Relationship Id="rId120" Type="http://schemas.openxmlformats.org/officeDocument/2006/relationships/hyperlink" Target="https://www.w3.org/International/articles/inline-bidi-markup/" TargetMode="External"/><Relationship Id="rId121" Type="http://schemas.openxmlformats.org/officeDocument/2006/relationships/hyperlink" Target="https://www.nngroup.com/articles/response-times-3-important-limits/" TargetMode="External"/><Relationship Id="rId122" Type="http://schemas.openxmlformats.org/officeDocument/2006/relationships/hyperlink" Target="https://lawsofux.com/doherty-threshold/" TargetMode="External"/><Relationship Id="rId123" Type="http://schemas.openxmlformats.org/officeDocument/2006/relationships/hyperlink" Target="https://www.nngroup.com/articles/empty-state-interface-design/" TargetMode="External"/><Relationship Id="rId124" Type="http://schemas.openxmlformats.org/officeDocument/2006/relationships/hyperlink" Target="https://www.nngroup.com/articles/error-message-guidelines/" TargetMode="External"/><Relationship Id="rId125" Type="http://schemas.openxmlformats.org/officeDocument/2006/relationships/hyperlink" Target="https://developer.apple.com/design/human-interface-guidelines/right-to-left" TargetMode="External"/><Relationship Id="rId126" Type="http://schemas.openxmlformats.org/officeDocument/2006/relationships/hyperlink" Target="https://m1.material.io/usability/bidirectionality.html" TargetMode="External"/><Relationship Id="rId127" Type="http://schemas.openxmlformats.org/officeDocument/2006/relationships/hyperlink" Target="https://www.w3.org/International/articles/inline-bidi-markup/" TargetMode="External"/><Relationship Id="rId128" Type="http://schemas.openxmlformats.org/officeDocument/2006/relationships/hyperlink" Target="https://developer.apple.com/design/human-interface-guidelines/right-to-left" TargetMode="External"/><Relationship Id="rId129" Type="http://schemas.openxmlformats.org/officeDocument/2006/relationships/hyperlink" Target="https://thesai.org/Downloads/Volume10No4/Paper_72-Towards_Usability_Guidelines_for_the_Design_of_Effective_Arabic_Websites.pdf" TargetMode="External"/><Relationship Id="rId130" Type="http://schemas.openxmlformats.org/officeDocument/2006/relationships/hyperlink" Target="https://www.w3.org/TR/alreq/" TargetMode="External"/><Relationship Id="rId131" Type="http://schemas.openxmlformats.org/officeDocument/2006/relationships/hyperlink" Target="https://www.w3.org/TR/alreq/" TargetMode="External"/><Relationship Id="rId132" Type="http://schemas.openxmlformats.org/officeDocument/2006/relationships/hyperlink" Target="https://www.freecodecamp.org/news/designing-for-the-arab-user-basic-arabic-ux-for-business-6ff29d4c7c60/" TargetMode="External"/><Relationship Id="rId133" Type="http://schemas.openxmlformats.org/officeDocument/2006/relationships/hyperlink" Target="https://www.nngroup.com/articles/f-shaped-pattern-reading-web-content/" TargetMode="External"/><Relationship Id="rId134" Type="http://schemas.openxmlformats.org/officeDocument/2006/relationships/hyperlink" Target="https://arxiv.org/abs/2101.08070" TargetMode="External"/><Relationship Id="rId135" Type="http://schemas.openxmlformats.org/officeDocument/2006/relationships/hyperlink" Target="https://arxiv.org/abs/2607.24571" TargetMode="External"/><Relationship Id="rId136" Type="http://schemas.openxmlformats.org/officeDocument/2006/relationships/hyperlink" Target="https://corp.unicode.org/pipermail/cldr-users/2019-April/000918.html" TargetMode="External"/><Relationship Id="rId137" Type="http://schemas.openxmlformats.org/officeDocument/2006/relationships/hyperlink" Target="https://www.w3.org/TR/alreq/" TargetMode="External"/><Relationship Id="rId138" Type="http://schemas.openxmlformats.org/officeDocument/2006/relationships/hyperlink" Target="https://gulfnews.com/world/gulf/saudi/saudi-arabia-adopts-gregorian-calendar-use-in-official-dealings-1.99118179" TargetMode="External"/><Relationship Id="rId139" Type="http://schemas.openxmlformats.org/officeDocument/2006/relationships/hyperlink" Target="https://designsystem.dubai.ae/foundations/usability-guidelines.md" TargetMode="External"/><Relationship Id="rId140" Type="http://schemas.openxmlformats.org/officeDocument/2006/relationships/hyperlink" Target="https://csa-research.com/Blogs-Events/CSA-in-the-Media/Press-Releases/Consumers-Prefer-their-Own-Language" TargetMode="External"/><Relationship Id="rId141" Type="http://schemas.openxmlformats.org/officeDocument/2006/relationships/hyperlink" Target="https://thesai.org/Downloads/Volume10No4/Paper_72-Towards_Usability_Guidelines_for_the_Design_of_Effective_Arabic_Websites.pdf" TargetMode="External"/><Relationship Id="rId142" Type="http://schemas.openxmlformats.org/officeDocument/2006/relationships/hyperlink" Target="https://www.adweek.com/socialtimes/study-northwestern-qatar-whatsapp-middle-east/618962" TargetMode="External"/><Relationship Id="rId143" Type="http://schemas.openxmlformats.org/officeDocument/2006/relationships/hyperlink" Target="https://www.mdpi.com/2227-9032/12/10/1001" TargetMode="External"/><Relationship Id="rId144" Type="http://schemas.openxmlformats.org/officeDocument/2006/relationships/hyperlink" Target="https://gs.statcounter.com/os-market-share/mobile/saudi-arabia" TargetMode="External"/><Relationship Id="rId145" Type="http://schemas.openxmlformats.org/officeDocument/2006/relationships/hyperlink" Target="https://www.sama.gov.sa/en-US/News/Pages/news-1139.aspx" TargetMode="External"/><Relationship Id="rId146" Type="http://schemas.openxmlformats.org/officeDocument/2006/relationships/hyperlink" Target="https://www.w3.org/WAI/WCAG22/Understanding/contrast-minimum.html" TargetMode="External"/><Relationship Id="rId147" Type="http://schemas.openxmlformats.org/officeDocument/2006/relationships/hyperlink" Target="https://www.w3.org/WAI/WCAG22/Understanding/target-size-minimum.html" TargetMode="External"/><Relationship Id="rId148" Type="http://schemas.openxmlformats.org/officeDocument/2006/relationships/hyperlink" Target="https://www.w3.org/WAI/WCAG22/Understanding/focus-not-obscured-minimum.html" TargetMode="External"/><Relationship Id="rId149" Type="http://schemas.openxmlformats.org/officeDocument/2006/relationships/hyperlink" Target="https://www.w3.org/WAI/WCAG22/Understanding/accessible-authentication-minimum.html" TargetMode="External"/><Relationship Id="rId150" Type="http://schemas.openxmlformats.org/officeDocument/2006/relationships/hyperlink" Target="https://www.tamimi.com/law-update-articles/the-regulation-and-licensing-of-telemedicine-in-saudi-arabia" TargetMode="External"/><Relationship Id="rId151" Type="http://schemas.openxmlformats.org/officeDocument/2006/relationships/hyperlink" Target="https://www.kayrouzandassociates.com/insights/licensing-and-data-rules-for-telehealth-providers-in-the-uae" TargetMode="External"/><Relationship Id="rId152" Type="http://schemas.openxmlformats.org/officeDocument/2006/relationships/hyperlink" Target="https://tamimi.com/law-update-articles/the-federal-law-regulating-the-use-of-information-and-communication-technology-in-the-uae-healthcare-sector" TargetMode="External"/><Relationship Id="rId153" Type="http://schemas.openxmlformats.org/officeDocument/2006/relationships/hyperlink" Target="https://www.cliffordchance.com/insights/resources/blogs/talking-tech/en/articles/2025/03/doing-business-in-the-middle-east--data-transfers-in-the-uae-and-ksa.html" TargetMode="External"/><Relationship Id="rId154" Type="http://schemas.openxmlformats.org/officeDocument/2006/relationships/hyperlink" Target="https://neelim.com/blog/telemedicine-licensing-gcc-2026" TargetMode="External"/><Relationship Id="rId155" Type="http://schemas.openxmlformats.org/officeDocument/2006/relationships/hyperlink" Target="https://www.duanemorris.com/alerts/california_passes_novel_law_governing_generative_ai_healthcare_1224.html" TargetMode="External"/><Relationship Id="rId156"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4"/>
  </cols>
  <sheetData>
    <row r="1" customFormat="false" ht="17.35" hidden="false" customHeight="false" outlineLevel="0" collapsed="false">
      <c r="A1" s="1" t="s">
        <v>0</v>
      </c>
    </row>
    <row r="2" customFormat="false" ht="57.75" hidden="false" customHeight="tru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4" t="n">
        <f aca="false">COUNTIF(Screens!$B$2:$B$51,A5)</f>
        <v>17</v>
      </c>
      <c r="C5" s="4" t="n">
        <f aca="false">COUNTIFS(Screens!$B$2:$B$51,A5,Screens!$G$2:$G$51,"Yes*")</f>
        <v>17</v>
      </c>
    </row>
    <row r="6" customFormat="false" ht="15" hidden="false" customHeight="false" outlineLevel="0" collapsed="false">
      <c r="A6" s="4" t="s">
        <v>6</v>
      </c>
      <c r="B6" s="4" t="n">
        <f aca="false">COUNTIF(Screens!$B$2:$B$51,A6)</f>
        <v>11</v>
      </c>
      <c r="C6" s="4" t="n">
        <f aca="false">COUNTIFS(Screens!$B$2:$B$51,A6,Screens!$G$2:$G$51,"Yes*")</f>
        <v>11</v>
      </c>
    </row>
    <row r="7" customFormat="false" ht="15" hidden="false" customHeight="false" outlineLevel="0" collapsed="false">
      <c r="A7" s="4" t="s">
        <v>7</v>
      </c>
      <c r="B7" s="4" t="n">
        <f aca="false">COUNTIF(Screens!$B$2:$B$51,A7)</f>
        <v>8</v>
      </c>
      <c r="C7" s="4" t="n">
        <f aca="false">COUNTIFS(Screens!$B$2:$B$51,A7,Screens!$G$2:$G$51,"Yes*")</f>
        <v>7</v>
      </c>
    </row>
    <row r="8" customFormat="false" ht="15" hidden="false" customHeight="false" outlineLevel="0" collapsed="false">
      <c r="A8" s="4" t="s">
        <v>8</v>
      </c>
      <c r="B8" s="4" t="n">
        <f aca="false">COUNTIF(Screens!$B$2:$B$51,A8)</f>
        <v>11</v>
      </c>
      <c r="C8" s="4" t="n">
        <f aca="false">COUNTIFS(Screens!$B$2:$B$51,A8,Screens!$G$2:$G$51,"Yes*")</f>
        <v>10</v>
      </c>
    </row>
    <row r="9" customFormat="false" ht="15" hidden="false" customHeight="false" outlineLevel="0" collapsed="false">
      <c r="A9" s="4" t="s">
        <v>9</v>
      </c>
      <c r="B9" s="4" t="n">
        <f aca="false">COUNTIF(Screens!$B$2:$B$51,A9)</f>
        <v>3</v>
      </c>
      <c r="C9" s="4" t="n">
        <f aca="false">COUNTIFS(Screens!$B$2:$B$51,A9,Screens!$G$2:$G$51,"Yes*")</f>
        <v>2</v>
      </c>
    </row>
    <row r="10" customFormat="false" ht="15" hidden="false" customHeight="false" outlineLevel="0" collapsed="false">
      <c r="A10" s="5" t="s">
        <v>10</v>
      </c>
      <c r="B10" s="5" t="n">
        <f aca="false">SUM(B5:B9)</f>
        <v>50</v>
      </c>
      <c r="C10" s="5" t="n">
        <f aca="false">SUM(C5:C9)</f>
        <v>47</v>
      </c>
    </row>
    <row r="12" customFormat="false" ht="15" hidden="false" customHeight="false" outlineLevel="0" collapsed="false">
      <c r="A12" s="3" t="s">
        <v>11</v>
      </c>
      <c r="B12" s="3" t="s">
        <v>3</v>
      </c>
    </row>
    <row r="13" customFormat="false" ht="15" hidden="false" customHeight="false" outlineLevel="0" collapsed="false">
      <c r="A13" s="4" t="s">
        <v>12</v>
      </c>
      <c r="B13" s="4" t="n">
        <f aca="false">COUNTIF(Screens!$J$2:$J$51,A13)</f>
        <v>50</v>
      </c>
    </row>
    <row r="14" customFormat="false" ht="15" hidden="false" customHeight="false" outlineLevel="0" collapsed="false">
      <c r="A14" s="4" t="s">
        <v>13</v>
      </c>
      <c r="B14" s="4" t="n">
        <f aca="false">COUNTIF(Screens!$J$2:$J$51,A14)</f>
        <v>0</v>
      </c>
    </row>
    <row r="15" customFormat="false" ht="15" hidden="false" customHeight="false" outlineLevel="0" collapsed="false">
      <c r="A15" s="4" t="s">
        <v>4</v>
      </c>
      <c r="B15" s="4" t="n">
        <f aca="false">COUNTIF(Screens!$J$2:$J$51,A15)</f>
        <v>0</v>
      </c>
    </row>
    <row r="16" customFormat="false" ht="15" hidden="false" customHeight="false" outlineLevel="0" collapsed="false">
      <c r="A16" s="4" t="s">
        <v>14</v>
      </c>
      <c r="B16" s="4" t="n">
        <f aca="false">COUNTIF(Screens!$J$2:$J$51,A16)</f>
        <v>0</v>
      </c>
    </row>
    <row r="17" customFormat="false" ht="15" hidden="false" customHeight="false" outlineLevel="0" collapsed="false">
      <c r="A17" s="4" t="s">
        <v>15</v>
      </c>
      <c r="B17" s="4" t="n">
        <f aca="false">COUNTIF(Screens!$J$2:$J$51,A17)</f>
        <v>0</v>
      </c>
    </row>
    <row r="18" customFormat="false" ht="15" hidden="false" customHeight="false" outlineLevel="0" collapsed="false">
      <c r="A18" s="4" t="s">
        <v>16</v>
      </c>
      <c r="B18" s="4" t="n">
        <f aca="false">COUNTIF(Screens!$J$2:$J$51,A18)</f>
        <v>0</v>
      </c>
    </row>
    <row r="19" customFormat="false" ht="15" hidden="false" customHeight="false" outlineLevel="0" collapsed="false">
      <c r="A19" s="4" t="s">
        <v>17</v>
      </c>
      <c r="B19" s="4" t="n">
        <f aca="false">COUNTIF(Screens!$J$2:$J$51,A19)</f>
        <v>0</v>
      </c>
    </row>
    <row r="22" customFormat="false" ht="15" hidden="false" customHeight="false" outlineLevel="0" collapsed="false">
      <c r="A22" s="3" t="s">
        <v>18</v>
      </c>
      <c r="B22" s="3" t="s">
        <v>3</v>
      </c>
    </row>
    <row r="23" customFormat="false" ht="15" hidden="false" customHeight="false" outlineLevel="0" collapsed="false">
      <c r="A23" s="4" t="s">
        <v>19</v>
      </c>
      <c r="B23" s="4" t="n">
        <f aca="false">COUNTIF(Screens!$H$2:$H$51,"M1*")</f>
        <v>2</v>
      </c>
    </row>
    <row r="24" customFormat="false" ht="15" hidden="false" customHeight="false" outlineLevel="0" collapsed="false">
      <c r="A24" s="4" t="s">
        <v>20</v>
      </c>
      <c r="B24" s="4" t="n">
        <f aca="false">COUNTIF(Screens!$H$2:$H$51,"M2*")</f>
        <v>27</v>
      </c>
    </row>
    <row r="25" customFormat="false" ht="15" hidden="false" customHeight="false" outlineLevel="0" collapsed="false">
      <c r="A25" s="4" t="s">
        <v>21</v>
      </c>
      <c r="B25" s="4" t="n">
        <f aca="false">COUNTIF(Screens!$H$2:$H$51,"M3*")</f>
        <v>18</v>
      </c>
    </row>
    <row r="26" customFormat="false" ht="15" hidden="false" customHeight="false" outlineLevel="0" collapsed="false">
      <c r="A26" s="4" t="s">
        <v>22</v>
      </c>
      <c r="B26" s="4" t="n">
        <f aca="false">COUNTIF(Screens!$H$2:$H$51,"M4*")</f>
        <v>1</v>
      </c>
    </row>
    <row r="27" customFormat="false" ht="15" hidden="false" customHeight="false" outlineLevel="0" collapsed="false">
      <c r="A27" s="4" t="s">
        <v>23</v>
      </c>
      <c r="B27" s="4" t="n">
        <f aca="false">COUNTIF(Screens!$H$2:$H$51,"January*")</f>
        <v>2</v>
      </c>
    </row>
    <row r="29" customFormat="false" ht="15" hidden="false" customHeight="false" outlineLevel="0" collapsed="false">
      <c r="A29" s="6" t="s">
        <v>24</v>
      </c>
    </row>
    <row r="31" customFormat="false" ht="15" hidden="false" customHeight="false" outlineLevel="0" collapsed="false">
      <c r="A31" s="3" t="s">
        <v>25</v>
      </c>
      <c r="B31" s="3" t="s">
        <v>26</v>
      </c>
    </row>
    <row r="32" customFormat="false" ht="15" hidden="false" customHeight="false" outlineLevel="0" collapsed="false">
      <c r="A32" s="4" t="s">
        <v>27</v>
      </c>
      <c r="B32" s="4" t="n">
        <f aca="false">COUNTIF(Rules!$G$2:$G$157,A32)</f>
        <v>93</v>
      </c>
    </row>
    <row r="33" customFormat="false" ht="15" hidden="false" customHeight="false" outlineLevel="0" collapsed="false">
      <c r="A33" s="4" t="s">
        <v>28</v>
      </c>
      <c r="B33" s="4" t="n">
        <f aca="false">COUNTIF(Rules!$G$2:$G$157,A33)</f>
        <v>30</v>
      </c>
    </row>
    <row r="34" customFormat="false" ht="15" hidden="false" customHeight="false" outlineLevel="0" collapsed="false">
      <c r="A34" s="4" t="s">
        <v>29</v>
      </c>
      <c r="B34" s="4" t="n">
        <f aca="false">COUNTIF(Rules!$G$2:$G$157,A34)</f>
        <v>24</v>
      </c>
    </row>
    <row r="35" customFormat="false" ht="15" hidden="false" customHeight="false" outlineLevel="0" collapsed="false">
      <c r="A35" s="4" t="s">
        <v>30</v>
      </c>
      <c r="B35" s="4" t="n">
        <f aca="false">COUNTIF(Rules!$G$2:$G$157,A35)</f>
        <v>9</v>
      </c>
    </row>
    <row r="36" customFormat="false" ht="15" hidden="false" customHeight="false" outlineLevel="0" collapsed="false">
      <c r="A36" s="7" t="s">
        <v>10</v>
      </c>
      <c r="B36" s="7" t="n">
        <f aca="false">SUM(B32:B35)</f>
        <v>156</v>
      </c>
    </row>
    <row r="38" customFormat="false" ht="15" hidden="false" customHeight="false" outlineLevel="0" collapsed="false">
      <c r="A38" s="7" t="s">
        <v>31</v>
      </c>
    </row>
    <row r="39" customFormat="false" ht="15" hidden="false" customHeight="false" outlineLevel="0" collapsed="false">
      <c r="A39" s="8"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26"/>
    <col collapsed="false" customWidth="true" hidden="false" outlineLevel="0" max="4" min="4" style="0" width="28"/>
    <col collapsed="false" customWidth="true" hidden="false" outlineLevel="0" max="5" min="5" style="0" width="34"/>
    <col collapsed="false" customWidth="true" hidden="false" outlineLevel="0" max="6" min="6" style="0" width="44"/>
    <col collapsed="false" customWidth="true" hidden="false" outlineLevel="0" max="8" min="7" style="0" width="13"/>
    <col collapsed="false" customWidth="true" hidden="false" outlineLevel="0" max="9" min="9" style="0" width="11"/>
    <col collapsed="false" customWidth="true" hidden="false" outlineLevel="0" max="10" min="10" style="0" width="13"/>
    <col collapsed="false" customWidth="true" hidden="false" outlineLevel="0" max="11" min="11" style="0" width="36"/>
    <col collapsed="false" customWidth="true" hidden="false" outlineLevel="0" max="12" min="12" style="0" width="90"/>
    <col collapsed="false" customWidth="true" hidden="false" outlineLevel="0" max="13" min="13" style="0" width="22"/>
    <col collapsed="false" customWidth="true" hidden="false" outlineLevel="0" max="14" min="14" style="0" width="70"/>
  </cols>
  <sheetData>
    <row r="1" customFormat="false" ht="30" hidden="false" customHeight="true" outlineLevel="0" collapsed="false">
      <c r="A1" s="9" t="s">
        <v>33</v>
      </c>
      <c r="B1" s="9" t="s">
        <v>34</v>
      </c>
      <c r="C1" s="9" t="s">
        <v>35</v>
      </c>
      <c r="D1" s="9" t="s">
        <v>36</v>
      </c>
      <c r="E1" s="9" t="s">
        <v>37</v>
      </c>
      <c r="F1" s="9" t="s">
        <v>38</v>
      </c>
      <c r="G1" s="9" t="s">
        <v>39</v>
      </c>
      <c r="H1" s="9" t="s">
        <v>40</v>
      </c>
      <c r="I1" s="9" t="s">
        <v>41</v>
      </c>
      <c r="J1" s="9" t="s">
        <v>42</v>
      </c>
      <c r="K1" s="9" t="s">
        <v>43</v>
      </c>
      <c r="L1" s="9" t="s">
        <v>44</v>
      </c>
      <c r="M1" s="9" t="s">
        <v>45</v>
      </c>
      <c r="N1" s="9" t="s">
        <v>46</v>
      </c>
    </row>
    <row r="2" customFormat="false" ht="124.6" hidden="false" customHeight="false" outlineLevel="0" collapsed="false">
      <c r="A2" s="10" t="n">
        <v>1</v>
      </c>
      <c r="B2" s="11" t="s">
        <v>5</v>
      </c>
      <c r="C2" s="10" t="s">
        <v>47</v>
      </c>
      <c r="D2" s="10" t="s">
        <v>48</v>
      </c>
      <c r="E2" s="10" t="s">
        <v>49</v>
      </c>
      <c r="F2" s="10" t="s">
        <v>50</v>
      </c>
      <c r="G2" s="10" t="s">
        <v>51</v>
      </c>
      <c r="H2" s="10" t="s">
        <v>52</v>
      </c>
      <c r="I2" s="10" t="s">
        <v>53</v>
      </c>
      <c r="J2" s="10" t="s">
        <v>12</v>
      </c>
      <c r="K2" s="10" t="s">
        <v>54</v>
      </c>
      <c r="L2" s="12" t="s">
        <v>55</v>
      </c>
      <c r="M2" s="10" t="s">
        <v>56</v>
      </c>
      <c r="N2" s="13" t="s">
        <v>57</v>
      </c>
    </row>
    <row r="3" customFormat="false" ht="57.45" hidden="false" customHeight="false" outlineLevel="0" collapsed="false">
      <c r="A3" s="10" t="n">
        <v>2</v>
      </c>
      <c r="B3" s="11" t="s">
        <v>5</v>
      </c>
      <c r="C3" s="10" t="s">
        <v>58</v>
      </c>
      <c r="D3" s="10" t="s">
        <v>59</v>
      </c>
      <c r="E3" s="10" t="s">
        <v>60</v>
      </c>
      <c r="F3" s="10" t="s">
        <v>61</v>
      </c>
      <c r="G3" s="10" t="s">
        <v>51</v>
      </c>
      <c r="H3" s="10" t="s">
        <v>52</v>
      </c>
      <c r="I3" s="10" t="s">
        <v>62</v>
      </c>
      <c r="J3" s="10" t="s">
        <v>12</v>
      </c>
      <c r="K3" s="10"/>
      <c r="L3" s="12" t="s">
        <v>63</v>
      </c>
      <c r="M3" s="10" t="s">
        <v>64</v>
      </c>
      <c r="N3" s="13" t="s">
        <v>65</v>
      </c>
    </row>
    <row r="4" customFormat="false" ht="57.45" hidden="false" customHeight="false" outlineLevel="0" collapsed="false">
      <c r="A4" s="10" t="n">
        <v>3</v>
      </c>
      <c r="B4" s="11" t="s">
        <v>5</v>
      </c>
      <c r="C4" s="10" t="s">
        <v>66</v>
      </c>
      <c r="D4" s="10" t="s">
        <v>67</v>
      </c>
      <c r="E4" s="10" t="s">
        <v>60</v>
      </c>
      <c r="F4" s="10" t="s">
        <v>68</v>
      </c>
      <c r="G4" s="10" t="s">
        <v>51</v>
      </c>
      <c r="H4" s="10" t="s">
        <v>52</v>
      </c>
      <c r="I4" s="10" t="s">
        <v>62</v>
      </c>
      <c r="J4" s="10" t="s">
        <v>12</v>
      </c>
      <c r="K4" s="10"/>
      <c r="L4" s="12" t="s">
        <v>69</v>
      </c>
      <c r="M4" s="10" t="s">
        <v>70</v>
      </c>
      <c r="N4" s="13" t="s">
        <v>71</v>
      </c>
    </row>
    <row r="5" customFormat="false" ht="46.25" hidden="false" customHeight="false" outlineLevel="0" collapsed="false">
      <c r="A5" s="10" t="n">
        <v>4</v>
      </c>
      <c r="B5" s="11" t="s">
        <v>5</v>
      </c>
      <c r="C5" s="10" t="s">
        <v>72</v>
      </c>
      <c r="D5" s="10" t="s">
        <v>73</v>
      </c>
      <c r="E5" s="10" t="s">
        <v>74</v>
      </c>
      <c r="F5" s="10" t="s">
        <v>75</v>
      </c>
      <c r="G5" s="10" t="s">
        <v>51</v>
      </c>
      <c r="H5" s="10" t="s">
        <v>52</v>
      </c>
      <c r="I5" s="10" t="s">
        <v>76</v>
      </c>
      <c r="J5" s="10" t="s">
        <v>12</v>
      </c>
      <c r="K5" s="10" t="s">
        <v>77</v>
      </c>
      <c r="L5" s="12" t="s">
        <v>78</v>
      </c>
      <c r="M5" s="10" t="s">
        <v>79</v>
      </c>
      <c r="N5" s="13" t="s">
        <v>80</v>
      </c>
    </row>
    <row r="6" customFormat="false" ht="113.4" hidden="false" customHeight="false" outlineLevel="0" collapsed="false">
      <c r="A6" s="10" t="n">
        <v>5</v>
      </c>
      <c r="B6" s="11" t="s">
        <v>5</v>
      </c>
      <c r="C6" s="10" t="s">
        <v>81</v>
      </c>
      <c r="D6" s="10" t="s">
        <v>82</v>
      </c>
      <c r="E6" s="10" t="s">
        <v>83</v>
      </c>
      <c r="F6" s="10" t="s">
        <v>84</v>
      </c>
      <c r="G6" s="10" t="s">
        <v>51</v>
      </c>
      <c r="H6" s="10" t="s">
        <v>52</v>
      </c>
      <c r="I6" s="10" t="s">
        <v>76</v>
      </c>
      <c r="J6" s="10" t="s">
        <v>12</v>
      </c>
      <c r="K6" s="10" t="s">
        <v>85</v>
      </c>
      <c r="L6" s="12" t="s">
        <v>86</v>
      </c>
      <c r="M6" s="10" t="s">
        <v>87</v>
      </c>
      <c r="N6" s="13" t="s">
        <v>88</v>
      </c>
    </row>
    <row r="7" customFormat="false" ht="57.45" hidden="false" customHeight="false" outlineLevel="0" collapsed="false">
      <c r="A7" s="10" t="n">
        <v>6</v>
      </c>
      <c r="B7" s="11" t="s">
        <v>5</v>
      </c>
      <c r="C7" s="10" t="s">
        <v>89</v>
      </c>
      <c r="D7" s="10" t="s">
        <v>90</v>
      </c>
      <c r="E7" s="10" t="s">
        <v>91</v>
      </c>
      <c r="F7" s="10" t="s">
        <v>92</v>
      </c>
      <c r="G7" s="10" t="s">
        <v>51</v>
      </c>
      <c r="H7" s="10" t="s">
        <v>52</v>
      </c>
      <c r="I7" s="10" t="s">
        <v>93</v>
      </c>
      <c r="J7" s="10" t="s">
        <v>12</v>
      </c>
      <c r="K7" s="10" t="s">
        <v>94</v>
      </c>
      <c r="L7" s="12" t="s">
        <v>95</v>
      </c>
      <c r="M7" s="10" t="s">
        <v>96</v>
      </c>
      <c r="N7" s="13" t="s">
        <v>97</v>
      </c>
    </row>
    <row r="8" customFormat="false" ht="79.85" hidden="false" customHeight="false" outlineLevel="0" collapsed="false">
      <c r="A8" s="10" t="n">
        <v>7</v>
      </c>
      <c r="B8" s="11" t="s">
        <v>5</v>
      </c>
      <c r="C8" s="10" t="s">
        <v>98</v>
      </c>
      <c r="D8" s="10" t="s">
        <v>99</v>
      </c>
      <c r="E8" s="10" t="s">
        <v>100</v>
      </c>
      <c r="F8" s="10" t="s">
        <v>101</v>
      </c>
      <c r="G8" s="10" t="s">
        <v>51</v>
      </c>
      <c r="H8" s="10" t="s">
        <v>52</v>
      </c>
      <c r="I8" s="10" t="s">
        <v>93</v>
      </c>
      <c r="J8" s="10" t="s">
        <v>12</v>
      </c>
      <c r="K8" s="10" t="s">
        <v>102</v>
      </c>
      <c r="L8" s="12" t="s">
        <v>103</v>
      </c>
      <c r="M8" s="10" t="s">
        <v>104</v>
      </c>
      <c r="N8" s="13" t="s">
        <v>105</v>
      </c>
    </row>
    <row r="9" customFormat="false" ht="79.85" hidden="false" customHeight="false" outlineLevel="0" collapsed="false">
      <c r="A9" s="10" t="n">
        <v>8</v>
      </c>
      <c r="B9" s="11" t="s">
        <v>5</v>
      </c>
      <c r="C9" s="10" t="s">
        <v>106</v>
      </c>
      <c r="D9" s="10" t="s">
        <v>107</v>
      </c>
      <c r="E9" s="10" t="s">
        <v>108</v>
      </c>
      <c r="F9" s="10" t="s">
        <v>109</v>
      </c>
      <c r="G9" s="10" t="s">
        <v>110</v>
      </c>
      <c r="H9" s="10" t="s">
        <v>111</v>
      </c>
      <c r="I9" s="10" t="s">
        <v>112</v>
      </c>
      <c r="J9" s="10" t="s">
        <v>12</v>
      </c>
      <c r="K9" s="10" t="s">
        <v>113</v>
      </c>
      <c r="L9" s="12" t="s">
        <v>114</v>
      </c>
      <c r="M9" s="10" t="s">
        <v>115</v>
      </c>
      <c r="N9" s="13" t="s">
        <v>116</v>
      </c>
    </row>
    <row r="10" customFormat="false" ht="57.45" hidden="false" customHeight="false" outlineLevel="0" collapsed="false">
      <c r="A10" s="10" t="n">
        <v>9</v>
      </c>
      <c r="B10" s="11" t="s">
        <v>5</v>
      </c>
      <c r="C10" s="10" t="s">
        <v>117</v>
      </c>
      <c r="D10" s="10" t="s">
        <v>118</v>
      </c>
      <c r="E10" s="10" t="s">
        <v>119</v>
      </c>
      <c r="F10" s="10" t="s">
        <v>120</v>
      </c>
      <c r="G10" s="10" t="s">
        <v>51</v>
      </c>
      <c r="H10" s="10" t="s">
        <v>52</v>
      </c>
      <c r="I10" s="10" t="s">
        <v>121</v>
      </c>
      <c r="J10" s="10" t="s">
        <v>12</v>
      </c>
      <c r="K10" s="10" t="s">
        <v>122</v>
      </c>
      <c r="L10" s="12" t="s">
        <v>123</v>
      </c>
      <c r="M10" s="10" t="s">
        <v>124</v>
      </c>
      <c r="N10" s="13" t="s">
        <v>125</v>
      </c>
    </row>
    <row r="11" customFormat="false" ht="46.25" hidden="false" customHeight="false" outlineLevel="0" collapsed="false">
      <c r="A11" s="10" t="n">
        <v>10</v>
      </c>
      <c r="B11" s="11" t="s">
        <v>5</v>
      </c>
      <c r="C11" s="10" t="s">
        <v>126</v>
      </c>
      <c r="D11" s="10" t="s">
        <v>127</v>
      </c>
      <c r="E11" s="10" t="s">
        <v>128</v>
      </c>
      <c r="F11" s="10" t="s">
        <v>129</v>
      </c>
      <c r="G11" s="10" t="s">
        <v>51</v>
      </c>
      <c r="H11" s="10" t="s">
        <v>52</v>
      </c>
      <c r="I11" s="10" t="s">
        <v>130</v>
      </c>
      <c r="J11" s="10" t="s">
        <v>12</v>
      </c>
      <c r="K11" s="10" t="s">
        <v>131</v>
      </c>
      <c r="L11" s="12" t="s">
        <v>132</v>
      </c>
      <c r="M11" s="10" t="s">
        <v>133</v>
      </c>
      <c r="N11" s="13" t="s">
        <v>134</v>
      </c>
    </row>
    <row r="12" customFormat="false" ht="35.05" hidden="false" customHeight="false" outlineLevel="0" collapsed="false">
      <c r="A12" s="10" t="n">
        <v>11</v>
      </c>
      <c r="B12" s="11" t="s">
        <v>5</v>
      </c>
      <c r="C12" s="10" t="s">
        <v>135</v>
      </c>
      <c r="D12" s="10" t="s">
        <v>136</v>
      </c>
      <c r="E12" s="10" t="s">
        <v>60</v>
      </c>
      <c r="F12" s="10" t="s">
        <v>137</v>
      </c>
      <c r="G12" s="10" t="s">
        <v>51</v>
      </c>
      <c r="H12" s="10" t="s">
        <v>52</v>
      </c>
      <c r="I12" s="10" t="s">
        <v>62</v>
      </c>
      <c r="J12" s="10" t="s">
        <v>12</v>
      </c>
      <c r="K12" s="10" t="s">
        <v>138</v>
      </c>
      <c r="L12" s="12" t="s">
        <v>139</v>
      </c>
      <c r="M12" s="10" t="s">
        <v>140</v>
      </c>
      <c r="N12" s="13" t="s">
        <v>141</v>
      </c>
    </row>
    <row r="13" customFormat="false" ht="68.65" hidden="false" customHeight="false" outlineLevel="0" collapsed="false">
      <c r="A13" s="10" t="n">
        <v>12</v>
      </c>
      <c r="B13" s="11" t="s">
        <v>5</v>
      </c>
      <c r="C13" s="10" t="s">
        <v>142</v>
      </c>
      <c r="D13" s="10" t="s">
        <v>143</v>
      </c>
      <c r="E13" s="10" t="s">
        <v>60</v>
      </c>
      <c r="F13" s="10" t="s">
        <v>144</v>
      </c>
      <c r="G13" s="10" t="s">
        <v>51</v>
      </c>
      <c r="H13" s="10" t="s">
        <v>52</v>
      </c>
      <c r="I13" s="10" t="s">
        <v>62</v>
      </c>
      <c r="J13" s="10" t="s">
        <v>12</v>
      </c>
      <c r="K13" s="10" t="s">
        <v>145</v>
      </c>
      <c r="L13" s="12" t="s">
        <v>146</v>
      </c>
      <c r="M13" s="10" t="s">
        <v>147</v>
      </c>
      <c r="N13" s="13" t="s">
        <v>148</v>
      </c>
    </row>
    <row r="14" customFormat="false" ht="46.25" hidden="false" customHeight="false" outlineLevel="0" collapsed="false">
      <c r="A14" s="10" t="n">
        <v>13</v>
      </c>
      <c r="B14" s="11" t="s">
        <v>5</v>
      </c>
      <c r="C14" s="10" t="s">
        <v>149</v>
      </c>
      <c r="D14" s="10" t="s">
        <v>150</v>
      </c>
      <c r="E14" s="10" t="s">
        <v>60</v>
      </c>
      <c r="F14" s="10" t="s">
        <v>151</v>
      </c>
      <c r="G14" s="10" t="s">
        <v>51</v>
      </c>
      <c r="H14" s="10" t="s">
        <v>52</v>
      </c>
      <c r="I14" s="10" t="s">
        <v>62</v>
      </c>
      <c r="J14" s="10" t="s">
        <v>12</v>
      </c>
      <c r="K14" s="10"/>
      <c r="L14" s="12" t="s">
        <v>152</v>
      </c>
      <c r="M14" s="10" t="s">
        <v>153</v>
      </c>
      <c r="N14" s="13" t="s">
        <v>154</v>
      </c>
    </row>
    <row r="15" customFormat="false" ht="35.05" hidden="false" customHeight="false" outlineLevel="0" collapsed="false">
      <c r="A15" s="10" t="n">
        <v>14</v>
      </c>
      <c r="B15" s="11" t="s">
        <v>5</v>
      </c>
      <c r="C15" s="10" t="s">
        <v>155</v>
      </c>
      <c r="D15" s="10" t="s">
        <v>156</v>
      </c>
      <c r="E15" s="10" t="s">
        <v>60</v>
      </c>
      <c r="F15" s="10" t="s">
        <v>61</v>
      </c>
      <c r="G15" s="10" t="s">
        <v>51</v>
      </c>
      <c r="H15" s="10" t="s">
        <v>52</v>
      </c>
      <c r="I15" s="10" t="s">
        <v>62</v>
      </c>
      <c r="J15" s="10" t="s">
        <v>12</v>
      </c>
      <c r="K15" s="10"/>
      <c r="L15" s="12" t="s">
        <v>157</v>
      </c>
      <c r="M15" s="10" t="s">
        <v>158</v>
      </c>
      <c r="N15" s="13" t="s">
        <v>159</v>
      </c>
    </row>
    <row r="16" customFormat="false" ht="35.05" hidden="false" customHeight="false" outlineLevel="0" collapsed="false">
      <c r="A16" s="10" t="n">
        <v>15</v>
      </c>
      <c r="B16" s="11" t="s">
        <v>5</v>
      </c>
      <c r="C16" s="10" t="s">
        <v>160</v>
      </c>
      <c r="D16" s="10" t="s">
        <v>161</v>
      </c>
      <c r="E16" s="10" t="s">
        <v>162</v>
      </c>
      <c r="F16" s="10" t="s">
        <v>163</v>
      </c>
      <c r="G16" s="10" t="s">
        <v>51</v>
      </c>
      <c r="H16" s="10" t="s">
        <v>52</v>
      </c>
      <c r="I16" s="10" t="s">
        <v>62</v>
      </c>
      <c r="J16" s="10" t="s">
        <v>12</v>
      </c>
      <c r="K16" s="10" t="s">
        <v>164</v>
      </c>
      <c r="L16" s="12" t="s">
        <v>165</v>
      </c>
      <c r="M16" s="10" t="s">
        <v>166</v>
      </c>
      <c r="N16" s="13" t="s">
        <v>167</v>
      </c>
    </row>
    <row r="17" customFormat="false" ht="57.45" hidden="false" customHeight="false" outlineLevel="0" collapsed="false">
      <c r="A17" s="10" t="n">
        <v>16</v>
      </c>
      <c r="B17" s="11" t="s">
        <v>5</v>
      </c>
      <c r="C17" s="10" t="s">
        <v>168</v>
      </c>
      <c r="D17" s="10" t="s">
        <v>169</v>
      </c>
      <c r="E17" s="10" t="s">
        <v>60</v>
      </c>
      <c r="F17" s="10" t="s">
        <v>170</v>
      </c>
      <c r="G17" s="10" t="s">
        <v>51</v>
      </c>
      <c r="H17" s="10" t="s">
        <v>171</v>
      </c>
      <c r="I17" s="10" t="s">
        <v>172</v>
      </c>
      <c r="J17" s="10" t="s">
        <v>12</v>
      </c>
      <c r="K17" s="10" t="s">
        <v>173</v>
      </c>
      <c r="L17" s="12" t="s">
        <v>174</v>
      </c>
      <c r="M17" s="10" t="s">
        <v>175</v>
      </c>
      <c r="N17" s="13" t="s">
        <v>176</v>
      </c>
    </row>
    <row r="18" customFormat="false" ht="23.85" hidden="false" customHeight="false" outlineLevel="0" collapsed="false">
      <c r="A18" s="10" t="n">
        <v>17</v>
      </c>
      <c r="B18" s="11" t="s">
        <v>5</v>
      </c>
      <c r="C18" s="10" t="s">
        <v>177</v>
      </c>
      <c r="D18" s="10" t="s">
        <v>178</v>
      </c>
      <c r="E18" s="10" t="s">
        <v>179</v>
      </c>
      <c r="F18" s="10" t="s">
        <v>180</v>
      </c>
      <c r="G18" s="10" t="s">
        <v>51</v>
      </c>
      <c r="H18" s="10" t="s">
        <v>52</v>
      </c>
      <c r="I18" s="10" t="s">
        <v>93</v>
      </c>
      <c r="J18" s="10" t="s">
        <v>12</v>
      </c>
      <c r="K18" s="10" t="s">
        <v>181</v>
      </c>
      <c r="L18" s="12" t="s">
        <v>182</v>
      </c>
      <c r="M18" s="10" t="s">
        <v>183</v>
      </c>
      <c r="N18" s="13" t="s">
        <v>184</v>
      </c>
    </row>
    <row r="19" customFormat="false" ht="46.25" hidden="false" customHeight="false" outlineLevel="0" collapsed="false">
      <c r="A19" s="10" t="n">
        <v>18</v>
      </c>
      <c r="B19" s="14" t="s">
        <v>6</v>
      </c>
      <c r="C19" s="10" t="s">
        <v>185</v>
      </c>
      <c r="D19" s="10" t="s">
        <v>186</v>
      </c>
      <c r="E19" s="10" t="s">
        <v>187</v>
      </c>
      <c r="F19" s="10" t="s">
        <v>188</v>
      </c>
      <c r="G19" s="10" t="s">
        <v>51</v>
      </c>
      <c r="H19" s="10" t="s">
        <v>111</v>
      </c>
      <c r="I19" s="10" t="s">
        <v>189</v>
      </c>
      <c r="J19" s="10" t="s">
        <v>12</v>
      </c>
      <c r="K19" s="10"/>
      <c r="L19" s="12" t="s">
        <v>190</v>
      </c>
      <c r="M19" s="10" t="s">
        <v>191</v>
      </c>
      <c r="N19" s="13" t="s">
        <v>192</v>
      </c>
    </row>
    <row r="20" customFormat="false" ht="57.45" hidden="false" customHeight="false" outlineLevel="0" collapsed="false">
      <c r="A20" s="10" t="n">
        <v>19</v>
      </c>
      <c r="B20" s="14" t="s">
        <v>6</v>
      </c>
      <c r="C20" s="10" t="s">
        <v>193</v>
      </c>
      <c r="D20" s="10" t="s">
        <v>194</v>
      </c>
      <c r="E20" s="10" t="s">
        <v>195</v>
      </c>
      <c r="F20" s="10" t="s">
        <v>196</v>
      </c>
      <c r="G20" s="10" t="s">
        <v>51</v>
      </c>
      <c r="H20" s="10" t="s">
        <v>111</v>
      </c>
      <c r="I20" s="10" t="s">
        <v>197</v>
      </c>
      <c r="J20" s="10" t="s">
        <v>12</v>
      </c>
      <c r="K20" s="10" t="s">
        <v>198</v>
      </c>
      <c r="L20" s="12" t="s">
        <v>199</v>
      </c>
      <c r="M20" s="10" t="s">
        <v>200</v>
      </c>
      <c r="N20" s="13" t="s">
        <v>201</v>
      </c>
    </row>
    <row r="21" customFormat="false" ht="79.85" hidden="false" customHeight="false" outlineLevel="0" collapsed="false">
      <c r="A21" s="10" t="n">
        <v>20</v>
      </c>
      <c r="B21" s="14" t="s">
        <v>6</v>
      </c>
      <c r="C21" s="10" t="s">
        <v>202</v>
      </c>
      <c r="D21" s="10" t="s">
        <v>203</v>
      </c>
      <c r="E21" s="10" t="s">
        <v>204</v>
      </c>
      <c r="F21" s="10" t="s">
        <v>205</v>
      </c>
      <c r="G21" s="10" t="s">
        <v>51</v>
      </c>
      <c r="H21" s="10" t="s">
        <v>111</v>
      </c>
      <c r="I21" s="10" t="s">
        <v>206</v>
      </c>
      <c r="J21" s="10" t="s">
        <v>12</v>
      </c>
      <c r="K21" s="10" t="s">
        <v>207</v>
      </c>
      <c r="L21" s="12" t="s">
        <v>208</v>
      </c>
      <c r="M21" s="10" t="s">
        <v>209</v>
      </c>
      <c r="N21" s="13" t="s">
        <v>210</v>
      </c>
    </row>
    <row r="22" customFormat="false" ht="46.25" hidden="false" customHeight="false" outlineLevel="0" collapsed="false">
      <c r="A22" s="10" t="n">
        <v>21</v>
      </c>
      <c r="B22" s="14" t="s">
        <v>6</v>
      </c>
      <c r="C22" s="10" t="s">
        <v>211</v>
      </c>
      <c r="D22" s="10" t="s">
        <v>212</v>
      </c>
      <c r="E22" s="10" t="s">
        <v>60</v>
      </c>
      <c r="F22" s="10" t="s">
        <v>213</v>
      </c>
      <c r="G22" s="10" t="s">
        <v>51</v>
      </c>
      <c r="H22" s="10" t="s">
        <v>111</v>
      </c>
      <c r="I22" s="10" t="s">
        <v>214</v>
      </c>
      <c r="J22" s="10" t="s">
        <v>12</v>
      </c>
      <c r="K22" s="10"/>
      <c r="L22" s="12" t="s">
        <v>215</v>
      </c>
      <c r="M22" s="10" t="s">
        <v>216</v>
      </c>
      <c r="N22" s="13" t="s">
        <v>217</v>
      </c>
    </row>
    <row r="23" customFormat="false" ht="35.05" hidden="false" customHeight="false" outlineLevel="0" collapsed="false">
      <c r="A23" s="10" t="n">
        <v>22</v>
      </c>
      <c r="B23" s="14" t="s">
        <v>6</v>
      </c>
      <c r="C23" s="10" t="s">
        <v>218</v>
      </c>
      <c r="D23" s="10" t="s">
        <v>219</v>
      </c>
      <c r="E23" s="10" t="s">
        <v>220</v>
      </c>
      <c r="F23" s="10" t="s">
        <v>221</v>
      </c>
      <c r="G23" s="10" t="s">
        <v>51</v>
      </c>
      <c r="H23" s="10" t="s">
        <v>111</v>
      </c>
      <c r="I23" s="10" t="s">
        <v>189</v>
      </c>
      <c r="J23" s="10" t="s">
        <v>12</v>
      </c>
      <c r="K23" s="10"/>
      <c r="L23" s="12" t="s">
        <v>222</v>
      </c>
      <c r="M23" s="10" t="s">
        <v>223</v>
      </c>
      <c r="N23" s="13" t="s">
        <v>224</v>
      </c>
    </row>
    <row r="24" customFormat="false" ht="23.85" hidden="false" customHeight="false" outlineLevel="0" collapsed="false">
      <c r="A24" s="10" t="n">
        <v>23</v>
      </c>
      <c r="B24" s="14" t="s">
        <v>6</v>
      </c>
      <c r="C24" s="10" t="s">
        <v>225</v>
      </c>
      <c r="D24" s="10" t="s">
        <v>226</v>
      </c>
      <c r="E24" s="10" t="s">
        <v>227</v>
      </c>
      <c r="F24" s="10" t="s">
        <v>228</v>
      </c>
      <c r="G24" s="10" t="s">
        <v>51</v>
      </c>
      <c r="H24" s="10" t="s">
        <v>111</v>
      </c>
      <c r="I24" s="10" t="s">
        <v>189</v>
      </c>
      <c r="J24" s="10" t="s">
        <v>12</v>
      </c>
      <c r="K24" s="10"/>
      <c r="L24" s="12" t="s">
        <v>229</v>
      </c>
      <c r="M24" s="10" t="s">
        <v>230</v>
      </c>
      <c r="N24" s="13" t="s">
        <v>231</v>
      </c>
    </row>
    <row r="25" customFormat="false" ht="46.25" hidden="false" customHeight="false" outlineLevel="0" collapsed="false">
      <c r="A25" s="10" t="n">
        <v>24</v>
      </c>
      <c r="B25" s="14" t="s">
        <v>6</v>
      </c>
      <c r="C25" s="10" t="s">
        <v>232</v>
      </c>
      <c r="D25" s="10" t="s">
        <v>233</v>
      </c>
      <c r="E25" s="10" t="s">
        <v>234</v>
      </c>
      <c r="F25" s="10" t="s">
        <v>235</v>
      </c>
      <c r="G25" s="10" t="s">
        <v>51</v>
      </c>
      <c r="H25" s="10" t="s">
        <v>111</v>
      </c>
      <c r="I25" s="10" t="s">
        <v>236</v>
      </c>
      <c r="J25" s="10" t="s">
        <v>12</v>
      </c>
      <c r="K25" s="10" t="s">
        <v>237</v>
      </c>
      <c r="L25" s="12" t="s">
        <v>238</v>
      </c>
      <c r="M25" s="10" t="s">
        <v>239</v>
      </c>
      <c r="N25" s="13" t="s">
        <v>240</v>
      </c>
    </row>
    <row r="26" customFormat="false" ht="35.05" hidden="false" customHeight="false" outlineLevel="0" collapsed="false">
      <c r="A26" s="10" t="n">
        <v>25</v>
      </c>
      <c r="B26" s="14" t="s">
        <v>6</v>
      </c>
      <c r="C26" s="10" t="s">
        <v>241</v>
      </c>
      <c r="D26" s="10" t="s">
        <v>242</v>
      </c>
      <c r="E26" s="10" t="s">
        <v>243</v>
      </c>
      <c r="F26" s="10" t="s">
        <v>244</v>
      </c>
      <c r="G26" s="10" t="s">
        <v>51</v>
      </c>
      <c r="H26" s="10" t="s">
        <v>111</v>
      </c>
      <c r="I26" s="10" t="s">
        <v>245</v>
      </c>
      <c r="J26" s="10" t="s">
        <v>12</v>
      </c>
      <c r="K26" s="10" t="s">
        <v>246</v>
      </c>
      <c r="L26" s="12" t="s">
        <v>247</v>
      </c>
      <c r="M26" s="10" t="s">
        <v>248</v>
      </c>
      <c r="N26" s="13" t="s">
        <v>249</v>
      </c>
    </row>
    <row r="27" customFormat="false" ht="57.45" hidden="false" customHeight="false" outlineLevel="0" collapsed="false">
      <c r="A27" s="10" t="n">
        <v>26</v>
      </c>
      <c r="B27" s="14" t="s">
        <v>6</v>
      </c>
      <c r="C27" s="10" t="s">
        <v>250</v>
      </c>
      <c r="D27" s="10" t="s">
        <v>251</v>
      </c>
      <c r="E27" s="10" t="s">
        <v>252</v>
      </c>
      <c r="F27" s="10" t="s">
        <v>253</v>
      </c>
      <c r="G27" s="10" t="s">
        <v>51</v>
      </c>
      <c r="H27" s="10" t="s">
        <v>111</v>
      </c>
      <c r="I27" s="10" t="s">
        <v>254</v>
      </c>
      <c r="J27" s="10" t="s">
        <v>12</v>
      </c>
      <c r="K27" s="10"/>
      <c r="L27" s="12" t="s">
        <v>255</v>
      </c>
      <c r="M27" s="10" t="s">
        <v>256</v>
      </c>
      <c r="N27" s="13" t="s">
        <v>257</v>
      </c>
    </row>
    <row r="28" customFormat="false" ht="35.05" hidden="false" customHeight="false" outlineLevel="0" collapsed="false">
      <c r="A28" s="10" t="n">
        <v>27</v>
      </c>
      <c r="B28" s="14" t="s">
        <v>6</v>
      </c>
      <c r="C28" s="10" t="s">
        <v>258</v>
      </c>
      <c r="D28" s="10" t="s">
        <v>259</v>
      </c>
      <c r="E28" s="10" t="s">
        <v>260</v>
      </c>
      <c r="F28" s="10" t="s">
        <v>261</v>
      </c>
      <c r="G28" s="10" t="s">
        <v>51</v>
      </c>
      <c r="H28" s="10" t="s">
        <v>111</v>
      </c>
      <c r="I28" s="10" t="s">
        <v>262</v>
      </c>
      <c r="J28" s="10" t="s">
        <v>12</v>
      </c>
      <c r="K28" s="10" t="s">
        <v>263</v>
      </c>
      <c r="L28" s="12" t="s">
        <v>264</v>
      </c>
      <c r="M28" s="10" t="s">
        <v>265</v>
      </c>
      <c r="N28" s="13" t="s">
        <v>266</v>
      </c>
    </row>
    <row r="29" customFormat="false" ht="35.05" hidden="false" customHeight="false" outlineLevel="0" collapsed="false">
      <c r="A29" s="10" t="n">
        <v>28</v>
      </c>
      <c r="B29" s="14" t="s">
        <v>6</v>
      </c>
      <c r="C29" s="10" t="s">
        <v>267</v>
      </c>
      <c r="D29" s="10" t="s">
        <v>268</v>
      </c>
      <c r="E29" s="10" t="s">
        <v>269</v>
      </c>
      <c r="F29" s="10" t="s">
        <v>270</v>
      </c>
      <c r="G29" s="10" t="s">
        <v>51</v>
      </c>
      <c r="H29" s="10" t="s">
        <v>111</v>
      </c>
      <c r="I29" s="10" t="s">
        <v>189</v>
      </c>
      <c r="J29" s="10" t="s">
        <v>12</v>
      </c>
      <c r="K29" s="10"/>
      <c r="L29" s="12" t="s">
        <v>271</v>
      </c>
      <c r="M29" s="10" t="s">
        <v>272</v>
      </c>
      <c r="N29" s="13" t="s">
        <v>273</v>
      </c>
    </row>
    <row r="30" customFormat="false" ht="91" hidden="false" customHeight="false" outlineLevel="0" collapsed="false">
      <c r="A30" s="10" t="n">
        <v>29</v>
      </c>
      <c r="B30" s="15" t="s">
        <v>7</v>
      </c>
      <c r="C30" s="10" t="s">
        <v>274</v>
      </c>
      <c r="D30" s="10" t="s">
        <v>275</v>
      </c>
      <c r="E30" s="10" t="s">
        <v>276</v>
      </c>
      <c r="F30" s="10" t="s">
        <v>277</v>
      </c>
      <c r="G30" s="10" t="s">
        <v>51</v>
      </c>
      <c r="H30" s="10" t="s">
        <v>52</v>
      </c>
      <c r="I30" s="10" t="s">
        <v>278</v>
      </c>
      <c r="J30" s="10" t="s">
        <v>12</v>
      </c>
      <c r="K30" s="10" t="s">
        <v>279</v>
      </c>
      <c r="L30" s="12" t="s">
        <v>280</v>
      </c>
      <c r="M30" s="10" t="s">
        <v>281</v>
      </c>
      <c r="N30" s="13" t="s">
        <v>282</v>
      </c>
    </row>
    <row r="31" customFormat="false" ht="35.05" hidden="false" customHeight="false" outlineLevel="0" collapsed="false">
      <c r="A31" s="10" t="n">
        <v>30</v>
      </c>
      <c r="B31" s="15" t="s">
        <v>7</v>
      </c>
      <c r="C31" s="10" t="s">
        <v>283</v>
      </c>
      <c r="D31" s="10" t="s">
        <v>284</v>
      </c>
      <c r="E31" s="10" t="s">
        <v>285</v>
      </c>
      <c r="F31" s="10" t="s">
        <v>286</v>
      </c>
      <c r="G31" s="10" t="s">
        <v>51</v>
      </c>
      <c r="H31" s="10" t="s">
        <v>52</v>
      </c>
      <c r="I31" s="10" t="s">
        <v>287</v>
      </c>
      <c r="J31" s="10" t="s">
        <v>12</v>
      </c>
      <c r="K31" s="10"/>
      <c r="L31" s="12" t="s">
        <v>288</v>
      </c>
      <c r="M31" s="10" t="s">
        <v>289</v>
      </c>
      <c r="N31" s="13" t="s">
        <v>290</v>
      </c>
    </row>
    <row r="32" customFormat="false" ht="23.85" hidden="false" customHeight="false" outlineLevel="0" collapsed="false">
      <c r="A32" s="10" t="n">
        <v>31</v>
      </c>
      <c r="B32" s="15" t="s">
        <v>7</v>
      </c>
      <c r="C32" s="10" t="s">
        <v>291</v>
      </c>
      <c r="D32" s="10" t="s">
        <v>292</v>
      </c>
      <c r="E32" s="10" t="s">
        <v>293</v>
      </c>
      <c r="F32" s="10" t="s">
        <v>294</v>
      </c>
      <c r="G32" s="10" t="s">
        <v>51</v>
      </c>
      <c r="H32" s="10" t="s">
        <v>52</v>
      </c>
      <c r="I32" s="10" t="s">
        <v>295</v>
      </c>
      <c r="J32" s="10" t="s">
        <v>12</v>
      </c>
      <c r="K32" s="10" t="s">
        <v>296</v>
      </c>
      <c r="L32" s="12" t="s">
        <v>297</v>
      </c>
      <c r="M32" s="10" t="s">
        <v>298</v>
      </c>
      <c r="N32" s="13" t="s">
        <v>299</v>
      </c>
    </row>
    <row r="33" customFormat="false" ht="35.05" hidden="false" customHeight="false" outlineLevel="0" collapsed="false">
      <c r="A33" s="10" t="n">
        <v>32</v>
      </c>
      <c r="B33" s="15" t="s">
        <v>7</v>
      </c>
      <c r="C33" s="10" t="s">
        <v>300</v>
      </c>
      <c r="D33" s="10" t="s">
        <v>301</v>
      </c>
      <c r="E33" s="10" t="s">
        <v>302</v>
      </c>
      <c r="F33" s="10" t="s">
        <v>303</v>
      </c>
      <c r="G33" s="10" t="s">
        <v>51</v>
      </c>
      <c r="H33" s="10" t="s">
        <v>304</v>
      </c>
      <c r="I33" s="10" t="s">
        <v>305</v>
      </c>
      <c r="J33" s="10" t="s">
        <v>12</v>
      </c>
      <c r="K33" s="10"/>
      <c r="L33" s="12" t="s">
        <v>306</v>
      </c>
      <c r="M33" s="10" t="s">
        <v>307</v>
      </c>
      <c r="N33" s="13" t="s">
        <v>308</v>
      </c>
    </row>
    <row r="34" customFormat="false" ht="35.05" hidden="false" customHeight="false" outlineLevel="0" collapsed="false">
      <c r="A34" s="10" t="n">
        <v>33</v>
      </c>
      <c r="B34" s="15" t="s">
        <v>7</v>
      </c>
      <c r="C34" s="10" t="s">
        <v>309</v>
      </c>
      <c r="D34" s="10" t="s">
        <v>310</v>
      </c>
      <c r="E34" s="10" t="s">
        <v>311</v>
      </c>
      <c r="F34" s="10" t="s">
        <v>312</v>
      </c>
      <c r="G34" s="10" t="s">
        <v>51</v>
      </c>
      <c r="H34" s="10" t="s">
        <v>111</v>
      </c>
      <c r="I34" s="10" t="s">
        <v>313</v>
      </c>
      <c r="J34" s="10" t="s">
        <v>12</v>
      </c>
      <c r="K34" s="10" t="s">
        <v>314</v>
      </c>
      <c r="L34" s="12" t="s">
        <v>315</v>
      </c>
      <c r="M34" s="10" t="s">
        <v>316</v>
      </c>
      <c r="N34" s="13" t="s">
        <v>317</v>
      </c>
    </row>
    <row r="35" customFormat="false" ht="23.85" hidden="false" customHeight="false" outlineLevel="0" collapsed="false">
      <c r="A35" s="10" t="n">
        <v>34</v>
      </c>
      <c r="B35" s="15" t="s">
        <v>7</v>
      </c>
      <c r="C35" s="10" t="s">
        <v>318</v>
      </c>
      <c r="D35" s="10" t="s">
        <v>319</v>
      </c>
      <c r="E35" s="10" t="s">
        <v>320</v>
      </c>
      <c r="F35" s="10" t="s">
        <v>321</v>
      </c>
      <c r="G35" s="10" t="s">
        <v>322</v>
      </c>
      <c r="H35" s="10" t="s">
        <v>323</v>
      </c>
      <c r="I35" s="10" t="s">
        <v>313</v>
      </c>
      <c r="J35" s="10" t="s">
        <v>12</v>
      </c>
      <c r="K35" s="10" t="s">
        <v>324</v>
      </c>
      <c r="L35" s="12" t="s">
        <v>325</v>
      </c>
      <c r="M35" s="10" t="s">
        <v>326</v>
      </c>
      <c r="N35" s="13" t="s">
        <v>327</v>
      </c>
    </row>
    <row r="36" customFormat="false" ht="35.05" hidden="false" customHeight="false" outlineLevel="0" collapsed="false">
      <c r="A36" s="10" t="n">
        <v>35</v>
      </c>
      <c r="B36" s="15" t="s">
        <v>7</v>
      </c>
      <c r="C36" s="10" t="s">
        <v>328</v>
      </c>
      <c r="D36" s="10" t="s">
        <v>329</v>
      </c>
      <c r="E36" s="10" t="s">
        <v>330</v>
      </c>
      <c r="F36" s="10" t="s">
        <v>331</v>
      </c>
      <c r="G36" s="10" t="s">
        <v>51</v>
      </c>
      <c r="H36" s="10" t="s">
        <v>111</v>
      </c>
      <c r="I36" s="10" t="s">
        <v>332</v>
      </c>
      <c r="J36" s="10" t="s">
        <v>12</v>
      </c>
      <c r="K36" s="10" t="s">
        <v>333</v>
      </c>
      <c r="L36" s="12" t="s">
        <v>334</v>
      </c>
      <c r="M36" s="10" t="s">
        <v>335</v>
      </c>
      <c r="N36" s="13" t="s">
        <v>336</v>
      </c>
    </row>
    <row r="37" customFormat="false" ht="23.85" hidden="false" customHeight="false" outlineLevel="0" collapsed="false">
      <c r="A37" s="10" t="n">
        <v>36</v>
      </c>
      <c r="B37" s="15" t="s">
        <v>7</v>
      </c>
      <c r="C37" s="10" t="s">
        <v>337</v>
      </c>
      <c r="D37" s="10" t="s">
        <v>338</v>
      </c>
      <c r="E37" s="10" t="s">
        <v>339</v>
      </c>
      <c r="F37" s="10" t="s">
        <v>340</v>
      </c>
      <c r="G37" s="10" t="s">
        <v>51</v>
      </c>
      <c r="H37" s="10" t="s">
        <v>111</v>
      </c>
      <c r="I37" s="10" t="s">
        <v>262</v>
      </c>
      <c r="J37" s="10" t="s">
        <v>12</v>
      </c>
      <c r="K37" s="10"/>
      <c r="L37" s="12" t="s">
        <v>341</v>
      </c>
      <c r="M37" s="10" t="s">
        <v>342</v>
      </c>
      <c r="N37" s="13" t="s">
        <v>343</v>
      </c>
    </row>
    <row r="38" customFormat="false" ht="23.85" hidden="false" customHeight="false" outlineLevel="0" collapsed="false">
      <c r="A38" s="10" t="n">
        <v>37</v>
      </c>
      <c r="B38" s="16" t="s">
        <v>8</v>
      </c>
      <c r="C38" s="10" t="s">
        <v>344</v>
      </c>
      <c r="D38" s="10" t="s">
        <v>345</v>
      </c>
      <c r="E38" s="10" t="s">
        <v>346</v>
      </c>
      <c r="F38" s="10" t="s">
        <v>347</v>
      </c>
      <c r="G38" s="10" t="s">
        <v>51</v>
      </c>
      <c r="H38" s="10" t="s">
        <v>52</v>
      </c>
      <c r="I38" s="10" t="s">
        <v>348</v>
      </c>
      <c r="J38" s="10" t="s">
        <v>12</v>
      </c>
      <c r="K38" s="10" t="s">
        <v>349</v>
      </c>
      <c r="L38" s="12" t="s">
        <v>350</v>
      </c>
      <c r="M38" s="10" t="s">
        <v>351</v>
      </c>
      <c r="N38" s="13" t="s">
        <v>352</v>
      </c>
    </row>
    <row r="39" customFormat="false" ht="46.25" hidden="false" customHeight="false" outlineLevel="0" collapsed="false">
      <c r="A39" s="10" t="n">
        <v>38</v>
      </c>
      <c r="B39" s="16" t="s">
        <v>8</v>
      </c>
      <c r="C39" s="10" t="s">
        <v>353</v>
      </c>
      <c r="D39" s="10" t="s">
        <v>354</v>
      </c>
      <c r="E39" s="10" t="s">
        <v>355</v>
      </c>
      <c r="F39" s="10" t="s">
        <v>356</v>
      </c>
      <c r="G39" s="10" t="s">
        <v>51</v>
      </c>
      <c r="H39" s="10" t="s">
        <v>52</v>
      </c>
      <c r="I39" s="10" t="s">
        <v>348</v>
      </c>
      <c r="J39" s="10" t="s">
        <v>12</v>
      </c>
      <c r="K39" s="10" t="s">
        <v>357</v>
      </c>
      <c r="L39" s="12" t="s">
        <v>358</v>
      </c>
      <c r="M39" s="10" t="s">
        <v>359</v>
      </c>
      <c r="N39" s="13" t="s">
        <v>360</v>
      </c>
    </row>
    <row r="40" customFormat="false" ht="35.05" hidden="false" customHeight="false" outlineLevel="0" collapsed="false">
      <c r="A40" s="10" t="n">
        <v>39</v>
      </c>
      <c r="B40" s="16" t="s">
        <v>8</v>
      </c>
      <c r="C40" s="10" t="s">
        <v>361</v>
      </c>
      <c r="D40" s="10" t="s">
        <v>362</v>
      </c>
      <c r="E40" s="10" t="s">
        <v>363</v>
      </c>
      <c r="F40" s="10" t="s">
        <v>364</v>
      </c>
      <c r="G40" s="10" t="s">
        <v>51</v>
      </c>
      <c r="H40" s="10" t="s">
        <v>52</v>
      </c>
      <c r="I40" s="10" t="s">
        <v>348</v>
      </c>
      <c r="J40" s="10" t="s">
        <v>12</v>
      </c>
      <c r="K40" s="10"/>
      <c r="L40" s="12" t="s">
        <v>365</v>
      </c>
      <c r="M40" s="10" t="s">
        <v>366</v>
      </c>
      <c r="N40" s="13" t="s">
        <v>367</v>
      </c>
    </row>
    <row r="41" customFormat="false" ht="23.85" hidden="false" customHeight="false" outlineLevel="0" collapsed="false">
      <c r="A41" s="10" t="n">
        <v>40</v>
      </c>
      <c r="B41" s="16" t="s">
        <v>8</v>
      </c>
      <c r="C41" s="10" t="s">
        <v>368</v>
      </c>
      <c r="D41" s="10" t="s">
        <v>369</v>
      </c>
      <c r="E41" s="10" t="s">
        <v>370</v>
      </c>
      <c r="F41" s="10" t="s">
        <v>371</v>
      </c>
      <c r="G41" s="10" t="s">
        <v>51</v>
      </c>
      <c r="H41" s="10" t="s">
        <v>52</v>
      </c>
      <c r="I41" s="10" t="s">
        <v>348</v>
      </c>
      <c r="J41" s="10" t="s">
        <v>12</v>
      </c>
      <c r="K41" s="10"/>
      <c r="L41" s="12" t="s">
        <v>372</v>
      </c>
      <c r="M41" s="10" t="s">
        <v>373</v>
      </c>
      <c r="N41" s="13" t="s">
        <v>374</v>
      </c>
    </row>
    <row r="42" customFormat="false" ht="23.85" hidden="false" customHeight="false" outlineLevel="0" collapsed="false">
      <c r="A42" s="10" t="n">
        <v>41</v>
      </c>
      <c r="B42" s="16" t="s">
        <v>8</v>
      </c>
      <c r="C42" s="10" t="s">
        <v>375</v>
      </c>
      <c r="D42" s="10" t="s">
        <v>376</v>
      </c>
      <c r="E42" s="10" t="s">
        <v>377</v>
      </c>
      <c r="F42" s="10" t="s">
        <v>378</v>
      </c>
      <c r="G42" s="10" t="s">
        <v>51</v>
      </c>
      <c r="H42" s="10" t="s">
        <v>52</v>
      </c>
      <c r="I42" s="10" t="s">
        <v>348</v>
      </c>
      <c r="J42" s="10" t="s">
        <v>12</v>
      </c>
      <c r="K42" s="10" t="s">
        <v>379</v>
      </c>
      <c r="L42" s="12" t="s">
        <v>380</v>
      </c>
      <c r="M42" s="10" t="s">
        <v>381</v>
      </c>
      <c r="N42" s="13" t="s">
        <v>382</v>
      </c>
    </row>
    <row r="43" customFormat="false" ht="15" hidden="false" customHeight="false" outlineLevel="0" collapsed="false">
      <c r="A43" s="10" t="n">
        <v>42</v>
      </c>
      <c r="B43" s="16" t="s">
        <v>8</v>
      </c>
      <c r="C43" s="10" t="s">
        <v>383</v>
      </c>
      <c r="D43" s="10" t="s">
        <v>384</v>
      </c>
      <c r="E43" s="10" t="s">
        <v>385</v>
      </c>
      <c r="F43" s="10" t="s">
        <v>386</v>
      </c>
      <c r="G43" s="10" t="s">
        <v>51</v>
      </c>
      <c r="H43" s="10" t="s">
        <v>111</v>
      </c>
      <c r="I43" s="10" t="s">
        <v>387</v>
      </c>
      <c r="J43" s="10" t="s">
        <v>12</v>
      </c>
      <c r="K43" s="10"/>
      <c r="L43" s="12" t="s">
        <v>388</v>
      </c>
      <c r="M43" s="10" t="s">
        <v>389</v>
      </c>
      <c r="N43" s="13" t="s">
        <v>390</v>
      </c>
    </row>
    <row r="44" customFormat="false" ht="35.05" hidden="false" customHeight="false" outlineLevel="0" collapsed="false">
      <c r="A44" s="10" t="n">
        <v>43</v>
      </c>
      <c r="B44" s="16" t="s">
        <v>8</v>
      </c>
      <c r="C44" s="10" t="s">
        <v>391</v>
      </c>
      <c r="D44" s="10" t="s">
        <v>392</v>
      </c>
      <c r="E44" s="10" t="s">
        <v>393</v>
      </c>
      <c r="F44" s="10" t="s">
        <v>394</v>
      </c>
      <c r="G44" s="10" t="s">
        <v>51</v>
      </c>
      <c r="H44" s="10" t="s">
        <v>111</v>
      </c>
      <c r="I44" s="10" t="s">
        <v>395</v>
      </c>
      <c r="J44" s="10" t="s">
        <v>12</v>
      </c>
      <c r="K44" s="10" t="s">
        <v>396</v>
      </c>
      <c r="L44" s="12" t="s">
        <v>397</v>
      </c>
      <c r="M44" s="10" t="s">
        <v>398</v>
      </c>
      <c r="N44" s="13" t="s">
        <v>399</v>
      </c>
    </row>
    <row r="45" customFormat="false" ht="15" hidden="false" customHeight="false" outlineLevel="0" collapsed="false">
      <c r="A45" s="10" t="n">
        <v>44</v>
      </c>
      <c r="B45" s="16" t="s">
        <v>8</v>
      </c>
      <c r="C45" s="10" t="s">
        <v>400</v>
      </c>
      <c r="D45" s="10" t="s">
        <v>401</v>
      </c>
      <c r="E45" s="10" t="s">
        <v>385</v>
      </c>
      <c r="F45" s="10" t="s">
        <v>402</v>
      </c>
      <c r="G45" s="10" t="s">
        <v>322</v>
      </c>
      <c r="H45" s="10" t="s">
        <v>323</v>
      </c>
      <c r="I45" s="10" t="s">
        <v>313</v>
      </c>
      <c r="J45" s="10" t="s">
        <v>12</v>
      </c>
      <c r="K45" s="10" t="s">
        <v>403</v>
      </c>
      <c r="L45" s="12" t="s">
        <v>404</v>
      </c>
      <c r="M45" s="10" t="s">
        <v>326</v>
      </c>
      <c r="N45" s="13" t="s">
        <v>405</v>
      </c>
    </row>
    <row r="46" customFormat="false" ht="23.85" hidden="false" customHeight="false" outlineLevel="0" collapsed="false">
      <c r="A46" s="10" t="n">
        <v>45</v>
      </c>
      <c r="B46" s="16" t="s">
        <v>8</v>
      </c>
      <c r="C46" s="10" t="s">
        <v>406</v>
      </c>
      <c r="D46" s="10" t="s">
        <v>407</v>
      </c>
      <c r="E46" s="10" t="s">
        <v>408</v>
      </c>
      <c r="F46" s="10" t="s">
        <v>409</v>
      </c>
      <c r="G46" s="10" t="s">
        <v>51</v>
      </c>
      <c r="H46" s="10" t="s">
        <v>111</v>
      </c>
      <c r="I46" s="10" t="s">
        <v>410</v>
      </c>
      <c r="J46" s="10" t="s">
        <v>12</v>
      </c>
      <c r="K46" s="10" t="s">
        <v>411</v>
      </c>
      <c r="L46" s="12" t="s">
        <v>412</v>
      </c>
      <c r="M46" s="10" t="s">
        <v>413</v>
      </c>
      <c r="N46" s="13" t="s">
        <v>414</v>
      </c>
    </row>
    <row r="47" customFormat="false" ht="23.85" hidden="false" customHeight="false" outlineLevel="0" collapsed="false">
      <c r="A47" s="10" t="n">
        <v>46</v>
      </c>
      <c r="B47" s="16" t="s">
        <v>8</v>
      </c>
      <c r="C47" s="10" t="s">
        <v>415</v>
      </c>
      <c r="D47" s="10" t="s">
        <v>416</v>
      </c>
      <c r="E47" s="10" t="s">
        <v>417</v>
      </c>
      <c r="F47" s="10" t="s">
        <v>418</v>
      </c>
      <c r="G47" s="10" t="s">
        <v>51</v>
      </c>
      <c r="H47" s="10" t="s">
        <v>52</v>
      </c>
      <c r="I47" s="10" t="s">
        <v>419</v>
      </c>
      <c r="J47" s="10" t="s">
        <v>12</v>
      </c>
      <c r="K47" s="10" t="s">
        <v>420</v>
      </c>
      <c r="L47" s="12" t="s">
        <v>421</v>
      </c>
      <c r="M47" s="10" t="s">
        <v>422</v>
      </c>
      <c r="N47" s="13" t="s">
        <v>423</v>
      </c>
    </row>
    <row r="48" customFormat="false" ht="23.85" hidden="false" customHeight="false" outlineLevel="0" collapsed="false">
      <c r="A48" s="10" t="n">
        <v>47</v>
      </c>
      <c r="B48" s="16" t="s">
        <v>8</v>
      </c>
      <c r="C48" s="10" t="s">
        <v>424</v>
      </c>
      <c r="D48" s="10" t="s">
        <v>425</v>
      </c>
      <c r="E48" s="10" t="s">
        <v>426</v>
      </c>
      <c r="F48" s="10" t="s">
        <v>427</v>
      </c>
      <c r="G48" s="10" t="s">
        <v>51</v>
      </c>
      <c r="H48" s="10" t="s">
        <v>52</v>
      </c>
      <c r="I48" s="10" t="s">
        <v>348</v>
      </c>
      <c r="J48" s="10" t="s">
        <v>12</v>
      </c>
      <c r="K48" s="10" t="s">
        <v>428</v>
      </c>
      <c r="L48" s="12" t="s">
        <v>429</v>
      </c>
      <c r="M48" s="10" t="s">
        <v>430</v>
      </c>
      <c r="N48" s="13" t="s">
        <v>431</v>
      </c>
    </row>
    <row r="49" customFormat="false" ht="46.25" hidden="false" customHeight="false" outlineLevel="0" collapsed="false">
      <c r="A49" s="10" t="n">
        <v>48</v>
      </c>
      <c r="B49" s="17" t="s">
        <v>9</v>
      </c>
      <c r="C49" s="10" t="s">
        <v>432</v>
      </c>
      <c r="D49" s="10" t="s">
        <v>433</v>
      </c>
      <c r="E49" s="10" t="s">
        <v>434</v>
      </c>
      <c r="F49" s="10" t="s">
        <v>435</v>
      </c>
      <c r="G49" s="10" t="s">
        <v>51</v>
      </c>
      <c r="H49" s="10" t="s">
        <v>436</v>
      </c>
      <c r="I49" s="10" t="s">
        <v>437</v>
      </c>
      <c r="J49" s="10" t="s">
        <v>12</v>
      </c>
      <c r="K49" s="10" t="s">
        <v>438</v>
      </c>
      <c r="L49" s="12" t="s">
        <v>439</v>
      </c>
      <c r="M49" s="10" t="s">
        <v>440</v>
      </c>
      <c r="N49" s="13" t="s">
        <v>441</v>
      </c>
    </row>
    <row r="50" customFormat="false" ht="35.05" hidden="false" customHeight="false" outlineLevel="0" collapsed="false">
      <c r="A50" s="10" t="n">
        <v>49</v>
      </c>
      <c r="B50" s="17" t="s">
        <v>9</v>
      </c>
      <c r="C50" s="10" t="s">
        <v>442</v>
      </c>
      <c r="D50" s="10" t="s">
        <v>443</v>
      </c>
      <c r="E50" s="10" t="s">
        <v>444</v>
      </c>
      <c r="F50" s="10" t="s">
        <v>445</v>
      </c>
      <c r="G50" s="10" t="s">
        <v>322</v>
      </c>
      <c r="H50" s="10" t="s">
        <v>446</v>
      </c>
      <c r="I50" s="10" t="s">
        <v>447</v>
      </c>
      <c r="J50" s="10" t="s">
        <v>12</v>
      </c>
      <c r="K50" s="10" t="s">
        <v>448</v>
      </c>
      <c r="L50" s="12" t="s">
        <v>449</v>
      </c>
      <c r="M50" s="10" t="s">
        <v>450</v>
      </c>
      <c r="N50" s="13" t="s">
        <v>451</v>
      </c>
    </row>
    <row r="51" customFormat="false" ht="35.05" hidden="false" customHeight="false" outlineLevel="0" collapsed="false">
      <c r="A51" s="10" t="n">
        <v>50</v>
      </c>
      <c r="B51" s="17" t="s">
        <v>9</v>
      </c>
      <c r="C51" s="10" t="s">
        <v>452</v>
      </c>
      <c r="D51" s="10" t="s">
        <v>453</v>
      </c>
      <c r="E51" s="10" t="s">
        <v>454</v>
      </c>
      <c r="F51" s="10" t="s">
        <v>455</v>
      </c>
      <c r="G51" s="10" t="s">
        <v>51</v>
      </c>
      <c r="H51" s="10" t="s">
        <v>456</v>
      </c>
      <c r="I51" s="10" t="s">
        <v>457</v>
      </c>
      <c r="J51" s="10" t="s">
        <v>12</v>
      </c>
      <c r="K51" s="10" t="s">
        <v>458</v>
      </c>
      <c r="L51" s="12" t="s">
        <v>459</v>
      </c>
      <c r="M51" s="10" t="s">
        <v>460</v>
      </c>
      <c r="N51" s="13" t="s">
        <v>461</v>
      </c>
    </row>
  </sheetData>
  <autoFilter ref="A1:N51"/>
  <dataValidations count="1">
    <dataValidation allowBlank="false" errorStyle="stop" operator="between" showDropDown="false" showErrorMessage="false" showInputMessage="false" sqref="J2:J51" type="list">
      <formula1>"Not started,Designing,In prototype,Approved,Building,Built,Tested"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60"/>
    <col collapsed="false" customWidth="true" hidden="false" outlineLevel="0" max="4" min="4" style="0" width="26"/>
    <col collapsed="false" customWidth="true" hidden="false" outlineLevel="0" max="5" min="5" style="0" width="52"/>
    <col collapsed="false" customWidth="true" hidden="false" outlineLevel="0" max="6" min="6" style="0" width="30"/>
    <col collapsed="false" customWidth="true" hidden="false" outlineLevel="0" max="7" min="7" style="0" width="12"/>
    <col collapsed="false" customWidth="true" hidden="false" outlineLevel="0" max="8" min="8" style="0" width="40"/>
  </cols>
  <sheetData>
    <row r="1" customFormat="false" ht="15" hidden="false" customHeight="false" outlineLevel="0" collapsed="false">
      <c r="A1" s="9" t="s">
        <v>462</v>
      </c>
      <c r="B1" s="9" t="s">
        <v>463</v>
      </c>
      <c r="C1" s="9" t="s">
        <v>464</v>
      </c>
      <c r="D1" s="9" t="s">
        <v>465</v>
      </c>
      <c r="E1" s="9" t="s">
        <v>466</v>
      </c>
      <c r="F1" s="9" t="s">
        <v>467</v>
      </c>
      <c r="G1" s="9" t="s">
        <v>468</v>
      </c>
      <c r="H1" s="9" t="s">
        <v>469</v>
      </c>
    </row>
    <row r="2" customFormat="false" ht="23.85" hidden="false" customHeight="false" outlineLevel="0" collapsed="false">
      <c r="A2" s="10" t="s">
        <v>470</v>
      </c>
      <c r="B2" s="10" t="s">
        <v>471</v>
      </c>
      <c r="C2" s="10" t="s">
        <v>472</v>
      </c>
      <c r="D2" s="10" t="s">
        <v>473</v>
      </c>
      <c r="E2" s="10" t="s">
        <v>474</v>
      </c>
      <c r="F2" s="10" t="s">
        <v>475</v>
      </c>
      <c r="G2" s="11" t="s">
        <v>27</v>
      </c>
      <c r="H2" s="18" t="s">
        <v>476</v>
      </c>
    </row>
    <row r="3" customFormat="false" ht="23.85" hidden="false" customHeight="false" outlineLevel="0" collapsed="false">
      <c r="A3" s="10" t="s">
        <v>477</v>
      </c>
      <c r="B3" s="10" t="s">
        <v>471</v>
      </c>
      <c r="C3" s="10" t="s">
        <v>478</v>
      </c>
      <c r="D3" s="10" t="s">
        <v>47</v>
      </c>
      <c r="E3" s="10" t="s">
        <v>479</v>
      </c>
      <c r="F3" s="10" t="s">
        <v>480</v>
      </c>
      <c r="G3" s="11" t="s">
        <v>27</v>
      </c>
      <c r="H3" s="18" t="s">
        <v>481</v>
      </c>
    </row>
    <row r="4" customFormat="false" ht="23.85" hidden="false" customHeight="false" outlineLevel="0" collapsed="false">
      <c r="A4" s="10" t="s">
        <v>482</v>
      </c>
      <c r="B4" s="10" t="s">
        <v>471</v>
      </c>
      <c r="C4" s="10" t="s">
        <v>483</v>
      </c>
      <c r="D4" s="10" t="s">
        <v>484</v>
      </c>
      <c r="E4" s="10" t="s">
        <v>485</v>
      </c>
      <c r="F4" s="10" t="s">
        <v>486</v>
      </c>
      <c r="G4" s="11" t="s">
        <v>27</v>
      </c>
      <c r="H4" s="18" t="s">
        <v>487</v>
      </c>
    </row>
    <row r="5" customFormat="false" ht="23.85" hidden="false" customHeight="false" outlineLevel="0" collapsed="false">
      <c r="A5" s="10" t="s">
        <v>488</v>
      </c>
      <c r="B5" s="10" t="s">
        <v>471</v>
      </c>
      <c r="C5" s="10" t="s">
        <v>489</v>
      </c>
      <c r="D5" s="10" t="s">
        <v>490</v>
      </c>
      <c r="E5" s="10" t="s">
        <v>491</v>
      </c>
      <c r="F5" s="10" t="s">
        <v>492</v>
      </c>
      <c r="G5" s="11" t="s">
        <v>27</v>
      </c>
      <c r="H5" s="18" t="s">
        <v>493</v>
      </c>
    </row>
    <row r="6" customFormat="false" ht="23.85" hidden="false" customHeight="false" outlineLevel="0" collapsed="false">
      <c r="A6" s="10" t="s">
        <v>494</v>
      </c>
      <c r="B6" s="10" t="s">
        <v>471</v>
      </c>
      <c r="C6" s="10" t="s">
        <v>495</v>
      </c>
      <c r="D6" s="10" t="s">
        <v>496</v>
      </c>
      <c r="E6" s="10" t="s">
        <v>497</v>
      </c>
      <c r="F6" s="10" t="s">
        <v>498</v>
      </c>
      <c r="G6" s="11" t="s">
        <v>27</v>
      </c>
      <c r="H6" s="18" t="s">
        <v>499</v>
      </c>
    </row>
    <row r="7" customFormat="false" ht="23.85" hidden="false" customHeight="false" outlineLevel="0" collapsed="false">
      <c r="A7" s="10" t="s">
        <v>500</v>
      </c>
      <c r="B7" s="10" t="s">
        <v>471</v>
      </c>
      <c r="C7" s="10" t="s">
        <v>501</v>
      </c>
      <c r="D7" s="10" t="s">
        <v>502</v>
      </c>
      <c r="E7" s="10" t="s">
        <v>503</v>
      </c>
      <c r="F7" s="10" t="s">
        <v>504</v>
      </c>
      <c r="G7" s="11" t="s">
        <v>27</v>
      </c>
      <c r="H7" s="18" t="s">
        <v>505</v>
      </c>
    </row>
    <row r="8" customFormat="false" ht="23.85" hidden="false" customHeight="false" outlineLevel="0" collapsed="false">
      <c r="A8" s="10" t="s">
        <v>506</v>
      </c>
      <c r="B8" s="10" t="s">
        <v>471</v>
      </c>
      <c r="C8" s="10" t="s">
        <v>507</v>
      </c>
      <c r="D8" s="10" t="s">
        <v>508</v>
      </c>
      <c r="E8" s="10" t="s">
        <v>509</v>
      </c>
      <c r="F8" s="10" t="s">
        <v>510</v>
      </c>
      <c r="G8" s="11" t="s">
        <v>27</v>
      </c>
      <c r="H8" s="18" t="s">
        <v>511</v>
      </c>
    </row>
    <row r="9" customFormat="false" ht="35.05" hidden="false" customHeight="false" outlineLevel="0" collapsed="false">
      <c r="A9" s="10" t="s">
        <v>512</v>
      </c>
      <c r="B9" s="10" t="s">
        <v>471</v>
      </c>
      <c r="C9" s="10" t="s">
        <v>513</v>
      </c>
      <c r="D9" s="10" t="s">
        <v>514</v>
      </c>
      <c r="E9" s="10" t="s">
        <v>515</v>
      </c>
      <c r="F9" s="10" t="s">
        <v>516</v>
      </c>
      <c r="G9" s="11" t="s">
        <v>27</v>
      </c>
      <c r="H9" s="18" t="s">
        <v>517</v>
      </c>
    </row>
    <row r="10" customFormat="false" ht="23.85" hidden="false" customHeight="false" outlineLevel="0" collapsed="false">
      <c r="A10" s="10" t="s">
        <v>518</v>
      </c>
      <c r="B10" s="10" t="s">
        <v>471</v>
      </c>
      <c r="C10" s="10" t="s">
        <v>519</v>
      </c>
      <c r="D10" s="10" t="s">
        <v>520</v>
      </c>
      <c r="E10" s="10" t="s">
        <v>521</v>
      </c>
      <c r="F10" s="10" t="s">
        <v>522</v>
      </c>
      <c r="G10" s="11" t="s">
        <v>27</v>
      </c>
      <c r="H10" s="18" t="s">
        <v>523</v>
      </c>
    </row>
    <row r="11" customFormat="false" ht="23.85" hidden="false" customHeight="false" outlineLevel="0" collapsed="false">
      <c r="A11" s="10" t="s">
        <v>524</v>
      </c>
      <c r="B11" s="10" t="s">
        <v>471</v>
      </c>
      <c r="C11" s="10" t="s">
        <v>525</v>
      </c>
      <c r="D11" s="10" t="s">
        <v>496</v>
      </c>
      <c r="E11" s="10" t="s">
        <v>526</v>
      </c>
      <c r="F11" s="10" t="s">
        <v>527</v>
      </c>
      <c r="G11" s="15" t="s">
        <v>28</v>
      </c>
      <c r="H11" s="18" t="s">
        <v>528</v>
      </c>
    </row>
    <row r="12" customFormat="false" ht="23.85" hidden="false" customHeight="false" outlineLevel="0" collapsed="false">
      <c r="A12" s="10" t="s">
        <v>529</v>
      </c>
      <c r="B12" s="10" t="s">
        <v>471</v>
      </c>
      <c r="C12" s="10" t="s">
        <v>530</v>
      </c>
      <c r="D12" s="10" t="s">
        <v>531</v>
      </c>
      <c r="E12" s="10" t="s">
        <v>532</v>
      </c>
      <c r="F12" s="10" t="s">
        <v>533</v>
      </c>
      <c r="G12" s="11" t="s">
        <v>27</v>
      </c>
      <c r="H12" s="18" t="s">
        <v>534</v>
      </c>
    </row>
    <row r="13" customFormat="false" ht="23.85" hidden="false" customHeight="false" outlineLevel="0" collapsed="false">
      <c r="A13" s="10" t="s">
        <v>535</v>
      </c>
      <c r="B13" s="10" t="s">
        <v>471</v>
      </c>
      <c r="C13" s="10" t="s">
        <v>536</v>
      </c>
      <c r="D13" s="10" t="s">
        <v>537</v>
      </c>
      <c r="E13" s="10" t="s">
        <v>538</v>
      </c>
      <c r="F13" s="10" t="s">
        <v>539</v>
      </c>
      <c r="G13" s="15" t="s">
        <v>28</v>
      </c>
      <c r="H13" s="18" t="s">
        <v>540</v>
      </c>
    </row>
    <row r="14" customFormat="false" ht="35.05" hidden="false" customHeight="false" outlineLevel="0" collapsed="false">
      <c r="A14" s="10" t="s">
        <v>541</v>
      </c>
      <c r="B14" s="10" t="s">
        <v>471</v>
      </c>
      <c r="C14" s="10" t="s">
        <v>542</v>
      </c>
      <c r="D14" s="10" t="s">
        <v>543</v>
      </c>
      <c r="E14" s="10" t="s">
        <v>544</v>
      </c>
      <c r="F14" s="10" t="s">
        <v>545</v>
      </c>
      <c r="G14" s="11" t="s">
        <v>27</v>
      </c>
      <c r="H14" s="18" t="s">
        <v>546</v>
      </c>
    </row>
    <row r="15" customFormat="false" ht="23.85" hidden="false" customHeight="false" outlineLevel="0" collapsed="false">
      <c r="A15" s="10" t="s">
        <v>547</v>
      </c>
      <c r="B15" s="10" t="s">
        <v>471</v>
      </c>
      <c r="C15" s="10" t="s">
        <v>548</v>
      </c>
      <c r="D15" s="10" t="s">
        <v>549</v>
      </c>
      <c r="E15" s="10" t="s">
        <v>550</v>
      </c>
      <c r="F15" s="10" t="s">
        <v>551</v>
      </c>
      <c r="G15" s="15" t="s">
        <v>28</v>
      </c>
      <c r="H15" s="18" t="s">
        <v>552</v>
      </c>
    </row>
    <row r="16" customFormat="false" ht="23.85" hidden="false" customHeight="false" outlineLevel="0" collapsed="false">
      <c r="A16" s="10" t="s">
        <v>553</v>
      </c>
      <c r="B16" s="10" t="s">
        <v>471</v>
      </c>
      <c r="C16" s="10" t="s">
        <v>554</v>
      </c>
      <c r="D16" s="10" t="s">
        <v>555</v>
      </c>
      <c r="E16" s="10" t="s">
        <v>556</v>
      </c>
      <c r="F16" s="10" t="s">
        <v>557</v>
      </c>
      <c r="G16" s="11" t="s">
        <v>27</v>
      </c>
      <c r="H16" s="18" t="s">
        <v>558</v>
      </c>
    </row>
    <row r="17" customFormat="false" ht="35.05" hidden="false" customHeight="false" outlineLevel="0" collapsed="false">
      <c r="A17" s="10" t="s">
        <v>559</v>
      </c>
      <c r="B17" s="10" t="s">
        <v>560</v>
      </c>
      <c r="C17" s="10" t="s">
        <v>561</v>
      </c>
      <c r="D17" s="10" t="s">
        <v>562</v>
      </c>
      <c r="E17" s="10" t="s">
        <v>563</v>
      </c>
      <c r="F17" s="10" t="s">
        <v>564</v>
      </c>
      <c r="G17" s="11" t="s">
        <v>27</v>
      </c>
      <c r="H17" s="18" t="s">
        <v>565</v>
      </c>
    </row>
    <row r="18" customFormat="false" ht="23.85" hidden="false" customHeight="false" outlineLevel="0" collapsed="false">
      <c r="A18" s="10" t="s">
        <v>566</v>
      </c>
      <c r="B18" s="10" t="s">
        <v>560</v>
      </c>
      <c r="C18" s="10" t="s">
        <v>567</v>
      </c>
      <c r="D18" s="10" t="s">
        <v>568</v>
      </c>
      <c r="E18" s="10" t="s">
        <v>569</v>
      </c>
      <c r="F18" s="10" t="s">
        <v>570</v>
      </c>
      <c r="G18" s="11" t="s">
        <v>27</v>
      </c>
      <c r="H18" s="18" t="s">
        <v>565</v>
      </c>
    </row>
    <row r="19" customFormat="false" ht="23.85" hidden="false" customHeight="false" outlineLevel="0" collapsed="false">
      <c r="A19" s="10" t="s">
        <v>571</v>
      </c>
      <c r="B19" s="10" t="s">
        <v>560</v>
      </c>
      <c r="C19" s="10" t="s">
        <v>572</v>
      </c>
      <c r="D19" s="10" t="s">
        <v>573</v>
      </c>
      <c r="E19" s="10" t="s">
        <v>574</v>
      </c>
      <c r="F19" s="10" t="s">
        <v>575</v>
      </c>
      <c r="G19" s="11" t="s">
        <v>27</v>
      </c>
      <c r="H19" s="18" t="s">
        <v>576</v>
      </c>
    </row>
    <row r="20" customFormat="false" ht="23.85" hidden="false" customHeight="false" outlineLevel="0" collapsed="false">
      <c r="A20" s="10" t="s">
        <v>577</v>
      </c>
      <c r="B20" s="10" t="s">
        <v>560</v>
      </c>
      <c r="C20" s="10" t="s">
        <v>578</v>
      </c>
      <c r="D20" s="10" t="s">
        <v>579</v>
      </c>
      <c r="E20" s="10" t="s">
        <v>580</v>
      </c>
      <c r="F20" s="10" t="s">
        <v>522</v>
      </c>
      <c r="G20" s="11" t="s">
        <v>27</v>
      </c>
      <c r="H20" s="18" t="s">
        <v>523</v>
      </c>
    </row>
    <row r="21" customFormat="false" ht="35.05" hidden="false" customHeight="false" outlineLevel="0" collapsed="false">
      <c r="A21" s="10" t="s">
        <v>581</v>
      </c>
      <c r="B21" s="10" t="s">
        <v>560</v>
      </c>
      <c r="C21" s="10" t="s">
        <v>582</v>
      </c>
      <c r="D21" s="10" t="s">
        <v>583</v>
      </c>
      <c r="E21" s="10" t="s">
        <v>584</v>
      </c>
      <c r="F21" s="10" t="s">
        <v>585</v>
      </c>
      <c r="G21" s="11" t="s">
        <v>27</v>
      </c>
      <c r="H21" s="18" t="s">
        <v>586</v>
      </c>
    </row>
    <row r="22" customFormat="false" ht="23.85" hidden="false" customHeight="false" outlineLevel="0" collapsed="false">
      <c r="A22" s="10" t="s">
        <v>587</v>
      </c>
      <c r="B22" s="10" t="s">
        <v>560</v>
      </c>
      <c r="C22" s="10" t="s">
        <v>588</v>
      </c>
      <c r="D22" s="10" t="s">
        <v>589</v>
      </c>
      <c r="E22" s="10" t="s">
        <v>590</v>
      </c>
      <c r="F22" s="10" t="s">
        <v>591</v>
      </c>
      <c r="G22" s="16" t="s">
        <v>29</v>
      </c>
      <c r="H22" s="18" t="s">
        <v>592</v>
      </c>
    </row>
    <row r="23" customFormat="false" ht="23.85" hidden="false" customHeight="false" outlineLevel="0" collapsed="false">
      <c r="A23" s="10" t="s">
        <v>593</v>
      </c>
      <c r="B23" s="10" t="s">
        <v>560</v>
      </c>
      <c r="C23" s="10" t="s">
        <v>594</v>
      </c>
      <c r="D23" s="10" t="s">
        <v>595</v>
      </c>
      <c r="E23" s="10" t="s">
        <v>596</v>
      </c>
      <c r="F23" s="10" t="s">
        <v>597</v>
      </c>
      <c r="G23" s="11" t="s">
        <v>27</v>
      </c>
      <c r="H23" s="18" t="s">
        <v>598</v>
      </c>
    </row>
    <row r="24" customFormat="false" ht="23.85" hidden="false" customHeight="false" outlineLevel="0" collapsed="false">
      <c r="A24" s="10" t="s">
        <v>599</v>
      </c>
      <c r="B24" s="10" t="s">
        <v>600</v>
      </c>
      <c r="C24" s="10" t="s">
        <v>601</v>
      </c>
      <c r="D24" s="10" t="s">
        <v>602</v>
      </c>
      <c r="E24" s="10" t="s">
        <v>603</v>
      </c>
      <c r="F24" s="10" t="s">
        <v>604</v>
      </c>
      <c r="G24" s="11" t="s">
        <v>27</v>
      </c>
      <c r="H24" s="18" t="s">
        <v>605</v>
      </c>
    </row>
    <row r="25" customFormat="false" ht="23.85" hidden="false" customHeight="false" outlineLevel="0" collapsed="false">
      <c r="A25" s="10" t="s">
        <v>606</v>
      </c>
      <c r="B25" s="10" t="s">
        <v>600</v>
      </c>
      <c r="C25" s="10" t="s">
        <v>607</v>
      </c>
      <c r="D25" s="10" t="s">
        <v>608</v>
      </c>
      <c r="E25" s="10" t="s">
        <v>609</v>
      </c>
      <c r="F25" s="10" t="s">
        <v>610</v>
      </c>
      <c r="G25" s="11" t="s">
        <v>27</v>
      </c>
      <c r="H25" s="18" t="s">
        <v>611</v>
      </c>
    </row>
    <row r="26" customFormat="false" ht="23.85" hidden="false" customHeight="false" outlineLevel="0" collapsed="false">
      <c r="A26" s="10" t="s">
        <v>612</v>
      </c>
      <c r="B26" s="10" t="s">
        <v>600</v>
      </c>
      <c r="C26" s="10" t="s">
        <v>613</v>
      </c>
      <c r="D26" s="10" t="s">
        <v>614</v>
      </c>
      <c r="E26" s="10" t="s">
        <v>615</v>
      </c>
      <c r="F26" s="10" t="s">
        <v>616</v>
      </c>
      <c r="G26" s="11" t="s">
        <v>27</v>
      </c>
      <c r="H26" s="18" t="s">
        <v>617</v>
      </c>
    </row>
    <row r="27" customFormat="false" ht="23.85" hidden="false" customHeight="false" outlineLevel="0" collapsed="false">
      <c r="A27" s="10" t="s">
        <v>618</v>
      </c>
      <c r="B27" s="10" t="s">
        <v>600</v>
      </c>
      <c r="C27" s="10" t="s">
        <v>619</v>
      </c>
      <c r="D27" s="10" t="s">
        <v>620</v>
      </c>
      <c r="E27" s="10" t="s">
        <v>621</v>
      </c>
      <c r="F27" s="10" t="s">
        <v>622</v>
      </c>
      <c r="G27" s="11" t="s">
        <v>27</v>
      </c>
      <c r="H27" s="18" t="s">
        <v>623</v>
      </c>
    </row>
    <row r="28" customFormat="false" ht="23.85" hidden="false" customHeight="false" outlineLevel="0" collapsed="false">
      <c r="A28" s="10" t="s">
        <v>624</v>
      </c>
      <c r="B28" s="10" t="s">
        <v>600</v>
      </c>
      <c r="C28" s="10" t="s">
        <v>625</v>
      </c>
      <c r="D28" s="10" t="s">
        <v>620</v>
      </c>
      <c r="E28" s="10" t="s">
        <v>626</v>
      </c>
      <c r="F28" s="10" t="s">
        <v>627</v>
      </c>
      <c r="G28" s="11" t="s">
        <v>27</v>
      </c>
      <c r="H28" s="18" t="s">
        <v>628</v>
      </c>
    </row>
    <row r="29" customFormat="false" ht="35.05" hidden="false" customHeight="false" outlineLevel="0" collapsed="false">
      <c r="A29" s="10" t="s">
        <v>629</v>
      </c>
      <c r="B29" s="10" t="s">
        <v>600</v>
      </c>
      <c r="C29" s="10" t="s">
        <v>630</v>
      </c>
      <c r="D29" s="10" t="s">
        <v>631</v>
      </c>
      <c r="E29" s="10" t="s">
        <v>632</v>
      </c>
      <c r="F29" s="10" t="s">
        <v>633</v>
      </c>
      <c r="G29" s="11" t="s">
        <v>27</v>
      </c>
      <c r="H29" s="18" t="s">
        <v>634</v>
      </c>
    </row>
    <row r="30" customFormat="false" ht="35.05" hidden="false" customHeight="false" outlineLevel="0" collapsed="false">
      <c r="A30" s="10" t="s">
        <v>635</v>
      </c>
      <c r="B30" s="10" t="s">
        <v>600</v>
      </c>
      <c r="C30" s="10" t="s">
        <v>636</v>
      </c>
      <c r="D30" s="10" t="s">
        <v>637</v>
      </c>
      <c r="E30" s="10" t="s">
        <v>638</v>
      </c>
      <c r="F30" s="10" t="s">
        <v>639</v>
      </c>
      <c r="G30" s="11" t="s">
        <v>27</v>
      </c>
      <c r="H30" s="18" t="s">
        <v>640</v>
      </c>
    </row>
    <row r="31" customFormat="false" ht="35.05" hidden="false" customHeight="false" outlineLevel="0" collapsed="false">
      <c r="A31" s="10" t="s">
        <v>641</v>
      </c>
      <c r="B31" s="10" t="s">
        <v>600</v>
      </c>
      <c r="C31" s="10" t="s">
        <v>642</v>
      </c>
      <c r="D31" s="10" t="s">
        <v>643</v>
      </c>
      <c r="E31" s="10" t="s">
        <v>644</v>
      </c>
      <c r="F31" s="10" t="s">
        <v>645</v>
      </c>
      <c r="G31" s="11" t="s">
        <v>27</v>
      </c>
      <c r="H31" s="18" t="s">
        <v>646</v>
      </c>
    </row>
    <row r="32" customFormat="false" ht="23.85" hidden="false" customHeight="false" outlineLevel="0" collapsed="false">
      <c r="A32" s="10" t="s">
        <v>647</v>
      </c>
      <c r="B32" s="10" t="s">
        <v>600</v>
      </c>
      <c r="C32" s="10" t="s">
        <v>648</v>
      </c>
      <c r="D32" s="10" t="s">
        <v>637</v>
      </c>
      <c r="E32" s="10" t="s">
        <v>649</v>
      </c>
      <c r="F32" s="10" t="s">
        <v>650</v>
      </c>
      <c r="G32" s="11" t="s">
        <v>27</v>
      </c>
      <c r="H32" s="18" t="s">
        <v>651</v>
      </c>
    </row>
    <row r="33" customFormat="false" ht="23.85" hidden="false" customHeight="false" outlineLevel="0" collapsed="false">
      <c r="A33" s="10" t="s">
        <v>652</v>
      </c>
      <c r="B33" s="10" t="s">
        <v>600</v>
      </c>
      <c r="C33" s="10" t="s">
        <v>653</v>
      </c>
      <c r="D33" s="10" t="s">
        <v>637</v>
      </c>
      <c r="E33" s="10" t="s">
        <v>654</v>
      </c>
      <c r="F33" s="10" t="s">
        <v>655</v>
      </c>
      <c r="G33" s="11" t="s">
        <v>27</v>
      </c>
      <c r="H33" s="18" t="s">
        <v>656</v>
      </c>
    </row>
    <row r="34" customFormat="false" ht="35.05" hidden="false" customHeight="false" outlineLevel="0" collapsed="false">
      <c r="A34" s="10" t="s">
        <v>657</v>
      </c>
      <c r="B34" s="10" t="s">
        <v>600</v>
      </c>
      <c r="C34" s="10" t="s">
        <v>658</v>
      </c>
      <c r="D34" s="10" t="s">
        <v>637</v>
      </c>
      <c r="E34" s="10" t="s">
        <v>659</v>
      </c>
      <c r="F34" s="10" t="s">
        <v>660</v>
      </c>
      <c r="G34" s="11" t="s">
        <v>27</v>
      </c>
      <c r="H34" s="18" t="s">
        <v>661</v>
      </c>
    </row>
    <row r="35" customFormat="false" ht="23.85" hidden="false" customHeight="false" outlineLevel="0" collapsed="false">
      <c r="A35" s="10" t="s">
        <v>662</v>
      </c>
      <c r="B35" s="10" t="s">
        <v>600</v>
      </c>
      <c r="C35" s="10" t="s">
        <v>663</v>
      </c>
      <c r="D35" s="10" t="s">
        <v>620</v>
      </c>
      <c r="E35" s="10" t="s">
        <v>664</v>
      </c>
      <c r="F35" s="10" t="s">
        <v>665</v>
      </c>
      <c r="G35" s="11" t="s">
        <v>27</v>
      </c>
      <c r="H35" s="18" t="s">
        <v>666</v>
      </c>
    </row>
    <row r="36" customFormat="false" ht="23.85" hidden="false" customHeight="false" outlineLevel="0" collapsed="false">
      <c r="A36" s="10" t="s">
        <v>667</v>
      </c>
      <c r="B36" s="10" t="s">
        <v>600</v>
      </c>
      <c r="C36" s="10" t="s">
        <v>668</v>
      </c>
      <c r="D36" s="10" t="s">
        <v>669</v>
      </c>
      <c r="E36" s="10" t="s">
        <v>670</v>
      </c>
      <c r="F36" s="10" t="s">
        <v>671</v>
      </c>
      <c r="G36" s="11" t="s">
        <v>27</v>
      </c>
      <c r="H36" s="18" t="s">
        <v>672</v>
      </c>
    </row>
    <row r="37" customFormat="false" ht="23.85" hidden="false" customHeight="false" outlineLevel="0" collapsed="false">
      <c r="A37" s="10" t="s">
        <v>673</v>
      </c>
      <c r="B37" s="10" t="s">
        <v>600</v>
      </c>
      <c r="C37" s="10" t="s">
        <v>674</v>
      </c>
      <c r="D37" s="10" t="s">
        <v>620</v>
      </c>
      <c r="E37" s="10" t="s">
        <v>675</v>
      </c>
      <c r="F37" s="10" t="s">
        <v>676</v>
      </c>
      <c r="G37" s="11" t="s">
        <v>27</v>
      </c>
      <c r="H37" s="18" t="s">
        <v>677</v>
      </c>
    </row>
    <row r="38" customFormat="false" ht="23.85" hidden="false" customHeight="false" outlineLevel="0" collapsed="false">
      <c r="A38" s="10" t="s">
        <v>678</v>
      </c>
      <c r="B38" s="10" t="s">
        <v>600</v>
      </c>
      <c r="C38" s="10" t="s">
        <v>679</v>
      </c>
      <c r="D38" s="10" t="s">
        <v>680</v>
      </c>
      <c r="E38" s="10" t="s">
        <v>681</v>
      </c>
      <c r="F38" s="10" t="s">
        <v>682</v>
      </c>
      <c r="G38" s="11" t="s">
        <v>27</v>
      </c>
      <c r="H38" s="18" t="s">
        <v>683</v>
      </c>
    </row>
    <row r="39" customFormat="false" ht="23.85" hidden="false" customHeight="false" outlineLevel="0" collapsed="false">
      <c r="A39" s="10" t="s">
        <v>684</v>
      </c>
      <c r="B39" s="10" t="s">
        <v>600</v>
      </c>
      <c r="C39" s="10" t="s">
        <v>685</v>
      </c>
      <c r="D39" s="10" t="s">
        <v>686</v>
      </c>
      <c r="E39" s="10" t="s">
        <v>687</v>
      </c>
      <c r="F39" s="10" t="s">
        <v>688</v>
      </c>
      <c r="G39" s="11" t="s">
        <v>27</v>
      </c>
      <c r="H39" s="18" t="s">
        <v>689</v>
      </c>
    </row>
    <row r="40" customFormat="false" ht="35.05" hidden="false" customHeight="false" outlineLevel="0" collapsed="false">
      <c r="A40" s="10" t="s">
        <v>690</v>
      </c>
      <c r="B40" s="10" t="s">
        <v>600</v>
      </c>
      <c r="C40" s="10" t="s">
        <v>691</v>
      </c>
      <c r="D40" s="10" t="s">
        <v>692</v>
      </c>
      <c r="E40" s="10" t="s">
        <v>693</v>
      </c>
      <c r="F40" s="10" t="s">
        <v>694</v>
      </c>
      <c r="G40" s="16" t="s">
        <v>29</v>
      </c>
      <c r="H40" s="18" t="s">
        <v>695</v>
      </c>
    </row>
    <row r="41" customFormat="false" ht="35.05" hidden="false" customHeight="false" outlineLevel="0" collapsed="false">
      <c r="A41" s="10" t="s">
        <v>696</v>
      </c>
      <c r="B41" s="10" t="s">
        <v>697</v>
      </c>
      <c r="C41" s="10" t="s">
        <v>698</v>
      </c>
      <c r="D41" s="10" t="s">
        <v>699</v>
      </c>
      <c r="E41" s="10" t="s">
        <v>700</v>
      </c>
      <c r="F41" s="10" t="s">
        <v>701</v>
      </c>
      <c r="G41" s="11" t="s">
        <v>27</v>
      </c>
      <c r="H41" s="18" t="s">
        <v>702</v>
      </c>
    </row>
    <row r="42" customFormat="false" ht="35.05" hidden="false" customHeight="false" outlineLevel="0" collapsed="false">
      <c r="A42" s="10" t="s">
        <v>703</v>
      </c>
      <c r="B42" s="10" t="s">
        <v>697</v>
      </c>
      <c r="C42" s="10" t="s">
        <v>704</v>
      </c>
      <c r="D42" s="10" t="s">
        <v>699</v>
      </c>
      <c r="E42" s="10" t="s">
        <v>705</v>
      </c>
      <c r="F42" s="10" t="s">
        <v>706</v>
      </c>
      <c r="G42" s="11" t="s">
        <v>27</v>
      </c>
      <c r="H42" s="18" t="s">
        <v>677</v>
      </c>
    </row>
    <row r="43" customFormat="false" ht="23.85" hidden="false" customHeight="false" outlineLevel="0" collapsed="false">
      <c r="A43" s="10" t="s">
        <v>707</v>
      </c>
      <c r="B43" s="10" t="s">
        <v>697</v>
      </c>
      <c r="C43" s="10" t="s">
        <v>708</v>
      </c>
      <c r="D43" s="10" t="s">
        <v>709</v>
      </c>
      <c r="E43" s="10" t="s">
        <v>710</v>
      </c>
      <c r="F43" s="10" t="s">
        <v>711</v>
      </c>
      <c r="G43" s="16" t="s">
        <v>29</v>
      </c>
      <c r="H43" s="18" t="s">
        <v>712</v>
      </c>
    </row>
    <row r="44" customFormat="false" ht="23.85" hidden="false" customHeight="false" outlineLevel="0" collapsed="false">
      <c r="A44" s="10" t="s">
        <v>713</v>
      </c>
      <c r="B44" s="10" t="s">
        <v>697</v>
      </c>
      <c r="C44" s="10" t="s">
        <v>714</v>
      </c>
      <c r="D44" s="10" t="s">
        <v>715</v>
      </c>
      <c r="E44" s="10" t="s">
        <v>716</v>
      </c>
      <c r="F44" s="10" t="s">
        <v>717</v>
      </c>
      <c r="G44" s="11" t="s">
        <v>27</v>
      </c>
      <c r="H44" s="18" t="s">
        <v>718</v>
      </c>
    </row>
    <row r="45" customFormat="false" ht="35.05" hidden="false" customHeight="false" outlineLevel="0" collapsed="false">
      <c r="A45" s="10" t="s">
        <v>719</v>
      </c>
      <c r="B45" s="10" t="s">
        <v>697</v>
      </c>
      <c r="C45" s="10" t="s">
        <v>720</v>
      </c>
      <c r="D45" s="10" t="s">
        <v>721</v>
      </c>
      <c r="E45" s="10" t="s">
        <v>722</v>
      </c>
      <c r="F45" s="10" t="s">
        <v>723</v>
      </c>
      <c r="G45" s="11" t="s">
        <v>27</v>
      </c>
      <c r="H45" s="18" t="s">
        <v>724</v>
      </c>
    </row>
    <row r="46" customFormat="false" ht="35.05" hidden="false" customHeight="false" outlineLevel="0" collapsed="false">
      <c r="A46" s="10" t="s">
        <v>725</v>
      </c>
      <c r="B46" s="10" t="s">
        <v>697</v>
      </c>
      <c r="C46" s="10" t="s">
        <v>726</v>
      </c>
      <c r="D46" s="10" t="s">
        <v>727</v>
      </c>
      <c r="E46" s="10" t="s">
        <v>728</v>
      </c>
      <c r="F46" s="10" t="s">
        <v>729</v>
      </c>
      <c r="G46" s="16" t="s">
        <v>29</v>
      </c>
      <c r="H46" s="18" t="s">
        <v>730</v>
      </c>
    </row>
    <row r="47" customFormat="false" ht="35.05" hidden="false" customHeight="false" outlineLevel="0" collapsed="false">
      <c r="A47" s="10" t="s">
        <v>731</v>
      </c>
      <c r="B47" s="10" t="s">
        <v>697</v>
      </c>
      <c r="C47" s="10" t="s">
        <v>732</v>
      </c>
      <c r="D47" s="10" t="s">
        <v>727</v>
      </c>
      <c r="E47" s="10" t="s">
        <v>733</v>
      </c>
      <c r="F47" s="10" t="s">
        <v>734</v>
      </c>
      <c r="G47" s="11" t="s">
        <v>27</v>
      </c>
      <c r="H47" s="18" t="s">
        <v>735</v>
      </c>
    </row>
    <row r="48" customFormat="false" ht="23.85" hidden="false" customHeight="false" outlineLevel="0" collapsed="false">
      <c r="A48" s="10" t="s">
        <v>736</v>
      </c>
      <c r="B48" s="10" t="s">
        <v>697</v>
      </c>
      <c r="C48" s="10" t="s">
        <v>737</v>
      </c>
      <c r="D48" s="10" t="s">
        <v>727</v>
      </c>
      <c r="E48" s="10" t="s">
        <v>738</v>
      </c>
      <c r="F48" s="10" t="s">
        <v>739</v>
      </c>
      <c r="G48" s="11" t="s">
        <v>27</v>
      </c>
      <c r="H48" s="18" t="s">
        <v>740</v>
      </c>
    </row>
    <row r="49" customFormat="false" ht="35.05" hidden="false" customHeight="false" outlineLevel="0" collapsed="false">
      <c r="A49" s="10" t="s">
        <v>741</v>
      </c>
      <c r="B49" s="10" t="s">
        <v>697</v>
      </c>
      <c r="C49" s="10" t="s">
        <v>742</v>
      </c>
      <c r="D49" s="10" t="s">
        <v>743</v>
      </c>
      <c r="E49" s="10" t="s">
        <v>744</v>
      </c>
      <c r="F49" s="10" t="s">
        <v>745</v>
      </c>
      <c r="G49" s="16" t="s">
        <v>29</v>
      </c>
      <c r="H49" s="18" t="s">
        <v>746</v>
      </c>
    </row>
    <row r="50" customFormat="false" ht="23.85" hidden="false" customHeight="false" outlineLevel="0" collapsed="false">
      <c r="A50" s="10" t="s">
        <v>747</v>
      </c>
      <c r="B50" s="10" t="s">
        <v>697</v>
      </c>
      <c r="C50" s="10" t="s">
        <v>748</v>
      </c>
      <c r="D50" s="10" t="s">
        <v>743</v>
      </c>
      <c r="E50" s="10" t="s">
        <v>749</v>
      </c>
      <c r="F50" s="10" t="s">
        <v>750</v>
      </c>
      <c r="G50" s="11" t="s">
        <v>27</v>
      </c>
      <c r="H50" s="18" t="s">
        <v>751</v>
      </c>
    </row>
    <row r="51" customFormat="false" ht="23.85" hidden="false" customHeight="false" outlineLevel="0" collapsed="false">
      <c r="A51" s="10" t="s">
        <v>752</v>
      </c>
      <c r="B51" s="10" t="s">
        <v>697</v>
      </c>
      <c r="C51" s="10" t="s">
        <v>753</v>
      </c>
      <c r="D51" s="10" t="s">
        <v>754</v>
      </c>
      <c r="E51" s="10" t="s">
        <v>755</v>
      </c>
      <c r="F51" s="10" t="s">
        <v>756</v>
      </c>
      <c r="G51" s="11" t="s">
        <v>27</v>
      </c>
      <c r="H51" s="18" t="s">
        <v>757</v>
      </c>
    </row>
    <row r="52" customFormat="false" ht="35.05" hidden="false" customHeight="false" outlineLevel="0" collapsed="false">
      <c r="A52" s="10" t="s">
        <v>758</v>
      </c>
      <c r="B52" s="10" t="s">
        <v>697</v>
      </c>
      <c r="C52" s="10" t="s">
        <v>759</v>
      </c>
      <c r="D52" s="10" t="s">
        <v>760</v>
      </c>
      <c r="E52" s="10" t="s">
        <v>761</v>
      </c>
      <c r="F52" s="10" t="s">
        <v>762</v>
      </c>
      <c r="G52" s="11" t="s">
        <v>27</v>
      </c>
      <c r="H52" s="18" t="s">
        <v>763</v>
      </c>
    </row>
    <row r="53" customFormat="false" ht="23.85" hidden="false" customHeight="false" outlineLevel="0" collapsed="false">
      <c r="A53" s="10" t="s">
        <v>764</v>
      </c>
      <c r="B53" s="10" t="s">
        <v>697</v>
      </c>
      <c r="C53" s="10" t="s">
        <v>765</v>
      </c>
      <c r="D53" s="10" t="s">
        <v>766</v>
      </c>
      <c r="E53" s="10" t="s">
        <v>767</v>
      </c>
      <c r="F53" s="10" t="s">
        <v>768</v>
      </c>
      <c r="G53" s="16" t="s">
        <v>29</v>
      </c>
      <c r="H53" s="18" t="s">
        <v>769</v>
      </c>
    </row>
    <row r="54" customFormat="false" ht="35.05" hidden="false" customHeight="false" outlineLevel="0" collapsed="false">
      <c r="A54" s="10" t="s">
        <v>770</v>
      </c>
      <c r="B54" s="10" t="s">
        <v>771</v>
      </c>
      <c r="C54" s="10" t="s">
        <v>772</v>
      </c>
      <c r="D54" s="10" t="s">
        <v>773</v>
      </c>
      <c r="E54" s="10" t="s">
        <v>774</v>
      </c>
      <c r="F54" s="10" t="s">
        <v>775</v>
      </c>
      <c r="G54" s="16" t="s">
        <v>29</v>
      </c>
      <c r="H54" s="18" t="s">
        <v>776</v>
      </c>
    </row>
    <row r="55" customFormat="false" ht="23.85" hidden="false" customHeight="false" outlineLevel="0" collapsed="false">
      <c r="A55" s="10" t="s">
        <v>777</v>
      </c>
      <c r="B55" s="10" t="s">
        <v>771</v>
      </c>
      <c r="C55" s="10" t="s">
        <v>778</v>
      </c>
      <c r="D55" s="10" t="s">
        <v>779</v>
      </c>
      <c r="E55" s="10" t="s">
        <v>780</v>
      </c>
      <c r="F55" s="10" t="s">
        <v>781</v>
      </c>
      <c r="G55" s="11" t="s">
        <v>27</v>
      </c>
      <c r="H55" s="18" t="s">
        <v>782</v>
      </c>
    </row>
    <row r="56" customFormat="false" ht="23.85" hidden="false" customHeight="false" outlineLevel="0" collapsed="false">
      <c r="A56" s="10" t="s">
        <v>783</v>
      </c>
      <c r="B56" s="10" t="s">
        <v>771</v>
      </c>
      <c r="C56" s="10" t="s">
        <v>784</v>
      </c>
      <c r="D56" s="10" t="s">
        <v>620</v>
      </c>
      <c r="E56" s="10" t="s">
        <v>785</v>
      </c>
      <c r="F56" s="10" t="s">
        <v>786</v>
      </c>
      <c r="G56" s="16" t="s">
        <v>29</v>
      </c>
      <c r="H56" s="18" t="s">
        <v>787</v>
      </c>
    </row>
    <row r="57" customFormat="false" ht="23.85" hidden="false" customHeight="false" outlineLevel="0" collapsed="false">
      <c r="A57" s="10" t="s">
        <v>788</v>
      </c>
      <c r="B57" s="10" t="s">
        <v>771</v>
      </c>
      <c r="C57" s="10" t="s">
        <v>789</v>
      </c>
      <c r="D57" s="10" t="s">
        <v>790</v>
      </c>
      <c r="E57" s="10" t="s">
        <v>791</v>
      </c>
      <c r="F57" s="10" t="s">
        <v>792</v>
      </c>
      <c r="G57" s="16" t="s">
        <v>29</v>
      </c>
      <c r="H57" s="18" t="s">
        <v>793</v>
      </c>
    </row>
    <row r="58" customFormat="false" ht="23.85" hidden="false" customHeight="false" outlineLevel="0" collapsed="false">
      <c r="A58" s="10" t="s">
        <v>794</v>
      </c>
      <c r="B58" s="10" t="s">
        <v>771</v>
      </c>
      <c r="C58" s="10" t="s">
        <v>795</v>
      </c>
      <c r="D58" s="10" t="s">
        <v>796</v>
      </c>
      <c r="E58" s="10" t="s">
        <v>797</v>
      </c>
      <c r="F58" s="10" t="s">
        <v>798</v>
      </c>
      <c r="G58" s="16" t="s">
        <v>29</v>
      </c>
      <c r="H58" s="18" t="s">
        <v>799</v>
      </c>
    </row>
    <row r="59" customFormat="false" ht="23.85" hidden="false" customHeight="false" outlineLevel="0" collapsed="false">
      <c r="A59" s="10" t="s">
        <v>800</v>
      </c>
      <c r="B59" s="10" t="s">
        <v>771</v>
      </c>
      <c r="C59" s="10" t="s">
        <v>801</v>
      </c>
      <c r="D59" s="10" t="s">
        <v>802</v>
      </c>
      <c r="E59" s="10" t="s">
        <v>803</v>
      </c>
      <c r="F59" s="10" t="s">
        <v>804</v>
      </c>
      <c r="G59" s="11" t="s">
        <v>27</v>
      </c>
      <c r="H59" s="18" t="s">
        <v>805</v>
      </c>
    </row>
    <row r="60" customFormat="false" ht="23.85" hidden="false" customHeight="false" outlineLevel="0" collapsed="false">
      <c r="A60" s="10" t="s">
        <v>806</v>
      </c>
      <c r="B60" s="10" t="s">
        <v>807</v>
      </c>
      <c r="C60" s="10" t="s">
        <v>808</v>
      </c>
      <c r="D60" s="10" t="s">
        <v>809</v>
      </c>
      <c r="E60" s="10" t="s">
        <v>810</v>
      </c>
      <c r="F60" s="10" t="s">
        <v>811</v>
      </c>
      <c r="G60" s="11" t="s">
        <v>27</v>
      </c>
      <c r="H60" s="18" t="s">
        <v>812</v>
      </c>
    </row>
    <row r="61" customFormat="false" ht="23.85" hidden="false" customHeight="false" outlineLevel="0" collapsed="false">
      <c r="A61" s="10" t="s">
        <v>813</v>
      </c>
      <c r="B61" s="10" t="s">
        <v>807</v>
      </c>
      <c r="C61" s="10" t="s">
        <v>814</v>
      </c>
      <c r="D61" s="10" t="s">
        <v>815</v>
      </c>
      <c r="E61" s="10" t="s">
        <v>816</v>
      </c>
      <c r="F61" s="10" t="s">
        <v>817</v>
      </c>
      <c r="G61" s="11" t="s">
        <v>27</v>
      </c>
      <c r="H61" s="18" t="s">
        <v>818</v>
      </c>
    </row>
    <row r="62" customFormat="false" ht="23.85" hidden="false" customHeight="false" outlineLevel="0" collapsed="false">
      <c r="A62" s="10" t="s">
        <v>819</v>
      </c>
      <c r="B62" s="10" t="s">
        <v>807</v>
      </c>
      <c r="C62" s="10" t="s">
        <v>820</v>
      </c>
      <c r="D62" s="10" t="s">
        <v>821</v>
      </c>
      <c r="E62" s="10" t="s">
        <v>822</v>
      </c>
      <c r="F62" s="10" t="s">
        <v>823</v>
      </c>
      <c r="G62" s="11" t="s">
        <v>27</v>
      </c>
      <c r="H62" s="18" t="s">
        <v>824</v>
      </c>
    </row>
    <row r="63" customFormat="false" ht="23.85" hidden="false" customHeight="false" outlineLevel="0" collapsed="false">
      <c r="A63" s="10" t="s">
        <v>825</v>
      </c>
      <c r="B63" s="10" t="s">
        <v>807</v>
      </c>
      <c r="C63" s="10" t="s">
        <v>826</v>
      </c>
      <c r="D63" s="10" t="s">
        <v>809</v>
      </c>
      <c r="E63" s="10" t="s">
        <v>827</v>
      </c>
      <c r="F63" s="10" t="s">
        <v>828</v>
      </c>
      <c r="G63" s="11" t="s">
        <v>27</v>
      </c>
      <c r="H63" s="18" t="s">
        <v>829</v>
      </c>
    </row>
    <row r="64" customFormat="false" ht="23.85" hidden="false" customHeight="false" outlineLevel="0" collapsed="false">
      <c r="A64" s="10" t="s">
        <v>830</v>
      </c>
      <c r="B64" s="10" t="s">
        <v>807</v>
      </c>
      <c r="C64" s="10" t="s">
        <v>831</v>
      </c>
      <c r="D64" s="10" t="s">
        <v>809</v>
      </c>
      <c r="E64" s="10" t="s">
        <v>832</v>
      </c>
      <c r="F64" s="10" t="s">
        <v>833</v>
      </c>
      <c r="G64" s="11" t="s">
        <v>27</v>
      </c>
      <c r="H64" s="18" t="s">
        <v>834</v>
      </c>
    </row>
    <row r="65" customFormat="false" ht="23.85" hidden="false" customHeight="false" outlineLevel="0" collapsed="false">
      <c r="A65" s="10" t="s">
        <v>835</v>
      </c>
      <c r="B65" s="10" t="s">
        <v>807</v>
      </c>
      <c r="C65" s="10" t="s">
        <v>836</v>
      </c>
      <c r="D65" s="10" t="s">
        <v>837</v>
      </c>
      <c r="E65" s="10" t="s">
        <v>838</v>
      </c>
      <c r="F65" s="10" t="s">
        <v>839</v>
      </c>
      <c r="G65" s="15" t="s">
        <v>28</v>
      </c>
      <c r="H65" s="18" t="s">
        <v>840</v>
      </c>
    </row>
    <row r="66" customFormat="false" ht="23.85" hidden="false" customHeight="false" outlineLevel="0" collapsed="false">
      <c r="A66" s="10" t="s">
        <v>841</v>
      </c>
      <c r="B66" s="10" t="s">
        <v>807</v>
      </c>
      <c r="C66" s="10" t="s">
        <v>842</v>
      </c>
      <c r="D66" s="10" t="s">
        <v>837</v>
      </c>
      <c r="E66" s="10" t="s">
        <v>843</v>
      </c>
      <c r="F66" s="10" t="s">
        <v>844</v>
      </c>
      <c r="G66" s="16" t="s">
        <v>29</v>
      </c>
      <c r="H66" s="18" t="s">
        <v>845</v>
      </c>
    </row>
    <row r="67" customFormat="false" ht="35.05" hidden="false" customHeight="false" outlineLevel="0" collapsed="false">
      <c r="A67" s="10" t="s">
        <v>846</v>
      </c>
      <c r="B67" s="10" t="s">
        <v>807</v>
      </c>
      <c r="C67" s="10" t="s">
        <v>847</v>
      </c>
      <c r="D67" s="10" t="s">
        <v>809</v>
      </c>
      <c r="E67" s="10" t="s">
        <v>848</v>
      </c>
      <c r="F67" s="10" t="s">
        <v>849</v>
      </c>
      <c r="G67" s="11" t="s">
        <v>27</v>
      </c>
      <c r="H67" s="18" t="s">
        <v>850</v>
      </c>
    </row>
    <row r="68" customFormat="false" ht="35.05" hidden="false" customHeight="false" outlineLevel="0" collapsed="false">
      <c r="A68" s="10" t="s">
        <v>851</v>
      </c>
      <c r="B68" s="10" t="s">
        <v>807</v>
      </c>
      <c r="C68" s="10" t="s">
        <v>852</v>
      </c>
      <c r="D68" s="10" t="s">
        <v>853</v>
      </c>
      <c r="E68" s="10" t="s">
        <v>854</v>
      </c>
      <c r="F68" s="10" t="s">
        <v>855</v>
      </c>
      <c r="G68" s="11" t="s">
        <v>27</v>
      </c>
      <c r="H68" s="18" t="s">
        <v>856</v>
      </c>
    </row>
    <row r="69" customFormat="false" ht="23.85" hidden="false" customHeight="false" outlineLevel="0" collapsed="false">
      <c r="A69" s="10" t="s">
        <v>857</v>
      </c>
      <c r="B69" s="10" t="s">
        <v>807</v>
      </c>
      <c r="C69" s="10" t="s">
        <v>858</v>
      </c>
      <c r="D69" s="10" t="s">
        <v>859</v>
      </c>
      <c r="E69" s="10" t="s">
        <v>860</v>
      </c>
      <c r="F69" s="10" t="s">
        <v>861</v>
      </c>
      <c r="G69" s="15" t="s">
        <v>28</v>
      </c>
      <c r="H69" s="18" t="s">
        <v>862</v>
      </c>
    </row>
    <row r="70" customFormat="false" ht="35.05" hidden="false" customHeight="false" outlineLevel="0" collapsed="false">
      <c r="A70" s="10" t="s">
        <v>863</v>
      </c>
      <c r="B70" s="10" t="s">
        <v>864</v>
      </c>
      <c r="C70" s="10" t="s">
        <v>865</v>
      </c>
      <c r="D70" s="10" t="s">
        <v>202</v>
      </c>
      <c r="E70" s="10" t="s">
        <v>866</v>
      </c>
      <c r="F70" s="10" t="s">
        <v>867</v>
      </c>
      <c r="G70" s="11" t="s">
        <v>27</v>
      </c>
      <c r="H70" s="18" t="s">
        <v>868</v>
      </c>
    </row>
    <row r="71" customFormat="false" ht="23.85" hidden="false" customHeight="false" outlineLevel="0" collapsed="false">
      <c r="A71" s="10" t="s">
        <v>869</v>
      </c>
      <c r="B71" s="10" t="s">
        <v>864</v>
      </c>
      <c r="C71" s="10" t="s">
        <v>870</v>
      </c>
      <c r="D71" s="10" t="s">
        <v>202</v>
      </c>
      <c r="E71" s="10" t="s">
        <v>871</v>
      </c>
      <c r="F71" s="10" t="s">
        <v>872</v>
      </c>
      <c r="G71" s="11" t="s">
        <v>27</v>
      </c>
      <c r="H71" s="18" t="s">
        <v>873</v>
      </c>
    </row>
    <row r="72" customFormat="false" ht="35.05" hidden="false" customHeight="false" outlineLevel="0" collapsed="false">
      <c r="A72" s="10" t="s">
        <v>874</v>
      </c>
      <c r="B72" s="10" t="s">
        <v>864</v>
      </c>
      <c r="C72" s="10" t="s">
        <v>875</v>
      </c>
      <c r="D72" s="10" t="s">
        <v>202</v>
      </c>
      <c r="E72" s="10" t="s">
        <v>876</v>
      </c>
      <c r="F72" s="10" t="s">
        <v>877</v>
      </c>
      <c r="G72" s="11" t="s">
        <v>27</v>
      </c>
      <c r="H72" s="18" t="s">
        <v>878</v>
      </c>
    </row>
    <row r="73" customFormat="false" ht="23.85" hidden="false" customHeight="false" outlineLevel="0" collapsed="false">
      <c r="A73" s="10" t="s">
        <v>879</v>
      </c>
      <c r="B73" s="10" t="s">
        <v>864</v>
      </c>
      <c r="C73" s="10" t="s">
        <v>880</v>
      </c>
      <c r="D73" s="10" t="s">
        <v>202</v>
      </c>
      <c r="E73" s="10" t="s">
        <v>881</v>
      </c>
      <c r="F73" s="10" t="s">
        <v>882</v>
      </c>
      <c r="G73" s="11" t="s">
        <v>27</v>
      </c>
      <c r="H73" s="18" t="s">
        <v>883</v>
      </c>
    </row>
    <row r="74" customFormat="false" ht="23.85" hidden="false" customHeight="false" outlineLevel="0" collapsed="false">
      <c r="A74" s="10" t="s">
        <v>884</v>
      </c>
      <c r="B74" s="10" t="s">
        <v>864</v>
      </c>
      <c r="C74" s="10" t="s">
        <v>885</v>
      </c>
      <c r="D74" s="10" t="s">
        <v>886</v>
      </c>
      <c r="E74" s="10" t="s">
        <v>887</v>
      </c>
      <c r="F74" s="10" t="s">
        <v>888</v>
      </c>
      <c r="G74" s="16" t="s">
        <v>29</v>
      </c>
      <c r="H74" s="18" t="s">
        <v>523</v>
      </c>
    </row>
    <row r="75" customFormat="false" ht="35.05" hidden="false" customHeight="false" outlineLevel="0" collapsed="false">
      <c r="A75" s="10" t="s">
        <v>889</v>
      </c>
      <c r="B75" s="10" t="s">
        <v>864</v>
      </c>
      <c r="C75" s="10" t="s">
        <v>890</v>
      </c>
      <c r="D75" s="10" t="s">
        <v>891</v>
      </c>
      <c r="E75" s="10" t="s">
        <v>892</v>
      </c>
      <c r="F75" s="10" t="s">
        <v>893</v>
      </c>
      <c r="G75" s="15" t="s">
        <v>28</v>
      </c>
      <c r="H75" s="18" t="s">
        <v>894</v>
      </c>
    </row>
    <row r="76" customFormat="false" ht="23.85" hidden="false" customHeight="false" outlineLevel="0" collapsed="false">
      <c r="A76" s="10" t="s">
        <v>895</v>
      </c>
      <c r="B76" s="10" t="s">
        <v>864</v>
      </c>
      <c r="C76" s="10" t="s">
        <v>896</v>
      </c>
      <c r="D76" s="10" t="s">
        <v>897</v>
      </c>
      <c r="E76" s="10" t="s">
        <v>898</v>
      </c>
      <c r="F76" s="10" t="s">
        <v>899</v>
      </c>
      <c r="G76" s="15" t="s">
        <v>28</v>
      </c>
      <c r="H76" s="18" t="s">
        <v>900</v>
      </c>
    </row>
    <row r="77" customFormat="false" ht="35.05" hidden="false" customHeight="false" outlineLevel="0" collapsed="false">
      <c r="A77" s="10" t="s">
        <v>901</v>
      </c>
      <c r="B77" s="10" t="s">
        <v>864</v>
      </c>
      <c r="C77" s="10" t="s">
        <v>902</v>
      </c>
      <c r="D77" s="10" t="s">
        <v>903</v>
      </c>
      <c r="E77" s="10" t="s">
        <v>904</v>
      </c>
      <c r="F77" s="10" t="s">
        <v>905</v>
      </c>
      <c r="G77" s="16" t="s">
        <v>29</v>
      </c>
      <c r="H77" s="18" t="s">
        <v>906</v>
      </c>
    </row>
    <row r="78" customFormat="false" ht="23.85" hidden="false" customHeight="false" outlineLevel="0" collapsed="false">
      <c r="A78" s="10" t="s">
        <v>907</v>
      </c>
      <c r="B78" s="10" t="s">
        <v>864</v>
      </c>
      <c r="C78" s="10" t="s">
        <v>908</v>
      </c>
      <c r="D78" s="10" t="s">
        <v>202</v>
      </c>
      <c r="E78" s="10" t="s">
        <v>909</v>
      </c>
      <c r="F78" s="10" t="s">
        <v>910</v>
      </c>
      <c r="G78" s="15" t="s">
        <v>28</v>
      </c>
      <c r="H78" s="18" t="s">
        <v>911</v>
      </c>
    </row>
    <row r="79" customFormat="false" ht="35.05" hidden="false" customHeight="false" outlineLevel="0" collapsed="false">
      <c r="A79" s="10" t="s">
        <v>912</v>
      </c>
      <c r="B79" s="10" t="s">
        <v>864</v>
      </c>
      <c r="C79" s="10" t="s">
        <v>913</v>
      </c>
      <c r="D79" s="10" t="s">
        <v>211</v>
      </c>
      <c r="E79" s="10" t="s">
        <v>914</v>
      </c>
      <c r="F79" s="10" t="s">
        <v>915</v>
      </c>
      <c r="G79" s="15" t="s">
        <v>28</v>
      </c>
      <c r="H79" s="18" t="s">
        <v>916</v>
      </c>
    </row>
    <row r="80" customFormat="false" ht="23.85" hidden="false" customHeight="false" outlineLevel="0" collapsed="false">
      <c r="A80" s="10" t="s">
        <v>917</v>
      </c>
      <c r="B80" s="10" t="s">
        <v>864</v>
      </c>
      <c r="C80" s="10" t="s">
        <v>918</v>
      </c>
      <c r="D80" s="10" t="s">
        <v>919</v>
      </c>
      <c r="E80" s="10" t="s">
        <v>920</v>
      </c>
      <c r="F80" s="10" t="s">
        <v>921</v>
      </c>
      <c r="G80" s="16" t="s">
        <v>29</v>
      </c>
      <c r="H80" s="18" t="s">
        <v>922</v>
      </c>
    </row>
    <row r="81" customFormat="false" ht="35.05" hidden="false" customHeight="false" outlineLevel="0" collapsed="false">
      <c r="A81" s="10" t="s">
        <v>923</v>
      </c>
      <c r="B81" s="10" t="s">
        <v>864</v>
      </c>
      <c r="C81" s="10" t="s">
        <v>924</v>
      </c>
      <c r="D81" s="10" t="s">
        <v>925</v>
      </c>
      <c r="E81" s="10" t="s">
        <v>926</v>
      </c>
      <c r="F81" s="10" t="s">
        <v>927</v>
      </c>
      <c r="G81" s="15" t="s">
        <v>28</v>
      </c>
      <c r="H81" s="18" t="s">
        <v>928</v>
      </c>
    </row>
    <row r="82" customFormat="false" ht="23.85" hidden="false" customHeight="false" outlineLevel="0" collapsed="false">
      <c r="A82" s="10" t="s">
        <v>929</v>
      </c>
      <c r="B82" s="10" t="s">
        <v>864</v>
      </c>
      <c r="C82" s="10" t="s">
        <v>930</v>
      </c>
      <c r="D82" s="10" t="s">
        <v>931</v>
      </c>
      <c r="E82" s="10" t="s">
        <v>932</v>
      </c>
      <c r="F82" s="10" t="s">
        <v>933</v>
      </c>
      <c r="G82" s="15" t="s">
        <v>28</v>
      </c>
      <c r="H82" s="18" t="s">
        <v>928</v>
      </c>
    </row>
    <row r="83" customFormat="false" ht="35.05" hidden="false" customHeight="false" outlineLevel="0" collapsed="false">
      <c r="A83" s="10" t="s">
        <v>934</v>
      </c>
      <c r="B83" s="10" t="s">
        <v>864</v>
      </c>
      <c r="C83" s="10" t="s">
        <v>935</v>
      </c>
      <c r="D83" s="10" t="s">
        <v>936</v>
      </c>
      <c r="E83" s="10" t="s">
        <v>937</v>
      </c>
      <c r="F83" s="10" t="s">
        <v>938</v>
      </c>
      <c r="G83" s="15" t="s">
        <v>28</v>
      </c>
      <c r="H83" s="18" t="s">
        <v>939</v>
      </c>
    </row>
    <row r="84" customFormat="false" ht="23.85" hidden="false" customHeight="false" outlineLevel="0" collapsed="false">
      <c r="A84" s="10" t="s">
        <v>940</v>
      </c>
      <c r="B84" s="10" t="s">
        <v>864</v>
      </c>
      <c r="C84" s="10" t="s">
        <v>941</v>
      </c>
      <c r="D84" s="10" t="s">
        <v>942</v>
      </c>
      <c r="E84" s="10" t="s">
        <v>943</v>
      </c>
      <c r="F84" s="10" t="s">
        <v>944</v>
      </c>
      <c r="G84" s="14" t="s">
        <v>30</v>
      </c>
      <c r="H84" s="18" t="s">
        <v>945</v>
      </c>
    </row>
    <row r="85" customFormat="false" ht="35.05" hidden="false" customHeight="false" outlineLevel="0" collapsed="false">
      <c r="A85" s="10" t="s">
        <v>946</v>
      </c>
      <c r="B85" s="10" t="s">
        <v>864</v>
      </c>
      <c r="C85" s="10" t="s">
        <v>947</v>
      </c>
      <c r="D85" s="10" t="s">
        <v>948</v>
      </c>
      <c r="E85" s="10" t="s">
        <v>949</v>
      </c>
      <c r="F85" s="10" t="s">
        <v>950</v>
      </c>
      <c r="G85" s="11" t="s">
        <v>27</v>
      </c>
      <c r="H85" s="18" t="s">
        <v>951</v>
      </c>
    </row>
    <row r="86" customFormat="false" ht="23.85" hidden="false" customHeight="false" outlineLevel="0" collapsed="false">
      <c r="A86" s="10" t="s">
        <v>952</v>
      </c>
      <c r="B86" s="10" t="s">
        <v>953</v>
      </c>
      <c r="C86" s="10" t="s">
        <v>954</v>
      </c>
      <c r="D86" s="10" t="s">
        <v>955</v>
      </c>
      <c r="E86" s="10" t="s">
        <v>956</v>
      </c>
      <c r="F86" s="10" t="s">
        <v>957</v>
      </c>
      <c r="G86" s="15" t="s">
        <v>28</v>
      </c>
      <c r="H86" s="18" t="s">
        <v>958</v>
      </c>
    </row>
    <row r="87" customFormat="false" ht="35.05" hidden="false" customHeight="false" outlineLevel="0" collapsed="false">
      <c r="A87" s="10" t="s">
        <v>959</v>
      </c>
      <c r="B87" s="10" t="s">
        <v>953</v>
      </c>
      <c r="C87" s="10" t="s">
        <v>960</v>
      </c>
      <c r="D87" s="10" t="s">
        <v>961</v>
      </c>
      <c r="E87" s="10" t="s">
        <v>962</v>
      </c>
      <c r="F87" s="10" t="s">
        <v>963</v>
      </c>
      <c r="G87" s="11" t="s">
        <v>27</v>
      </c>
      <c r="H87" s="18" t="s">
        <v>964</v>
      </c>
    </row>
    <row r="88" customFormat="false" ht="35.05" hidden="false" customHeight="false" outlineLevel="0" collapsed="false">
      <c r="A88" s="10" t="s">
        <v>965</v>
      </c>
      <c r="B88" s="10" t="s">
        <v>953</v>
      </c>
      <c r="C88" s="10" t="s">
        <v>966</v>
      </c>
      <c r="D88" s="10" t="s">
        <v>232</v>
      </c>
      <c r="E88" s="10" t="s">
        <v>967</v>
      </c>
      <c r="F88" s="10" t="s">
        <v>968</v>
      </c>
      <c r="G88" s="11" t="s">
        <v>27</v>
      </c>
      <c r="H88" s="18" t="s">
        <v>969</v>
      </c>
    </row>
    <row r="89" customFormat="false" ht="35.05" hidden="false" customHeight="false" outlineLevel="0" collapsed="false">
      <c r="A89" s="10" t="s">
        <v>970</v>
      </c>
      <c r="B89" s="10" t="s">
        <v>953</v>
      </c>
      <c r="C89" s="10" t="s">
        <v>971</v>
      </c>
      <c r="D89" s="10" t="s">
        <v>961</v>
      </c>
      <c r="E89" s="10" t="s">
        <v>972</v>
      </c>
      <c r="F89" s="10" t="s">
        <v>973</v>
      </c>
      <c r="G89" s="14" t="s">
        <v>30</v>
      </c>
      <c r="H89" s="18" t="s">
        <v>974</v>
      </c>
    </row>
    <row r="90" customFormat="false" ht="23.85" hidden="false" customHeight="false" outlineLevel="0" collapsed="false">
      <c r="A90" s="10" t="s">
        <v>975</v>
      </c>
      <c r="B90" s="10" t="s">
        <v>953</v>
      </c>
      <c r="C90" s="10" t="s">
        <v>976</v>
      </c>
      <c r="D90" s="10" t="s">
        <v>961</v>
      </c>
      <c r="E90" s="10" t="s">
        <v>977</v>
      </c>
      <c r="F90" s="10" t="s">
        <v>978</v>
      </c>
      <c r="G90" s="15" t="s">
        <v>28</v>
      </c>
      <c r="H90" s="18" t="s">
        <v>979</v>
      </c>
    </row>
    <row r="91" customFormat="false" ht="35.05" hidden="false" customHeight="false" outlineLevel="0" collapsed="false">
      <c r="A91" s="10" t="s">
        <v>980</v>
      </c>
      <c r="B91" s="10" t="s">
        <v>953</v>
      </c>
      <c r="C91" s="10" t="s">
        <v>981</v>
      </c>
      <c r="D91" s="10" t="s">
        <v>961</v>
      </c>
      <c r="E91" s="10" t="s">
        <v>982</v>
      </c>
      <c r="F91" s="10" t="s">
        <v>983</v>
      </c>
      <c r="G91" s="15" t="s">
        <v>28</v>
      </c>
      <c r="H91" s="18" t="s">
        <v>984</v>
      </c>
    </row>
    <row r="92" customFormat="false" ht="23.85" hidden="false" customHeight="false" outlineLevel="0" collapsed="false">
      <c r="A92" s="10" t="s">
        <v>985</v>
      </c>
      <c r="B92" s="10" t="s">
        <v>953</v>
      </c>
      <c r="C92" s="10" t="s">
        <v>986</v>
      </c>
      <c r="D92" s="10" t="s">
        <v>258</v>
      </c>
      <c r="E92" s="10" t="s">
        <v>987</v>
      </c>
      <c r="F92" s="10" t="s">
        <v>988</v>
      </c>
      <c r="G92" s="11" t="s">
        <v>27</v>
      </c>
      <c r="H92" s="18" t="s">
        <v>989</v>
      </c>
    </row>
    <row r="93" customFormat="false" ht="23.85" hidden="false" customHeight="false" outlineLevel="0" collapsed="false">
      <c r="A93" s="10" t="s">
        <v>990</v>
      </c>
      <c r="B93" s="10" t="s">
        <v>953</v>
      </c>
      <c r="C93" s="10" t="s">
        <v>991</v>
      </c>
      <c r="D93" s="10" t="s">
        <v>992</v>
      </c>
      <c r="E93" s="10" t="s">
        <v>993</v>
      </c>
      <c r="F93" s="10" t="s">
        <v>994</v>
      </c>
      <c r="G93" s="11" t="s">
        <v>27</v>
      </c>
      <c r="H93" s="18" t="s">
        <v>995</v>
      </c>
    </row>
    <row r="94" customFormat="false" ht="23.85" hidden="false" customHeight="false" outlineLevel="0" collapsed="false">
      <c r="A94" s="10" t="s">
        <v>996</v>
      </c>
      <c r="B94" s="10" t="s">
        <v>953</v>
      </c>
      <c r="C94" s="10" t="s">
        <v>997</v>
      </c>
      <c r="D94" s="10" t="s">
        <v>998</v>
      </c>
      <c r="E94" s="10" t="s">
        <v>999</v>
      </c>
      <c r="F94" s="10" t="s">
        <v>1000</v>
      </c>
      <c r="G94" s="14" t="s">
        <v>30</v>
      </c>
      <c r="H94" s="18" t="s">
        <v>1001</v>
      </c>
    </row>
    <row r="95" customFormat="false" ht="23.85" hidden="false" customHeight="false" outlineLevel="0" collapsed="false">
      <c r="A95" s="10" t="s">
        <v>1002</v>
      </c>
      <c r="B95" s="10" t="s">
        <v>953</v>
      </c>
      <c r="C95" s="10" t="s">
        <v>1003</v>
      </c>
      <c r="D95" s="10" t="s">
        <v>232</v>
      </c>
      <c r="E95" s="10" t="s">
        <v>1004</v>
      </c>
      <c r="F95" s="10" t="s">
        <v>1005</v>
      </c>
      <c r="G95" s="11" t="s">
        <v>27</v>
      </c>
      <c r="H95" s="18" t="s">
        <v>1006</v>
      </c>
    </row>
    <row r="96" customFormat="false" ht="35.05" hidden="false" customHeight="false" outlineLevel="0" collapsed="false">
      <c r="A96" s="10" t="s">
        <v>1007</v>
      </c>
      <c r="B96" s="10" t="s">
        <v>953</v>
      </c>
      <c r="C96" s="10" t="s">
        <v>1008</v>
      </c>
      <c r="D96" s="10" t="s">
        <v>241</v>
      </c>
      <c r="E96" s="10" t="s">
        <v>1009</v>
      </c>
      <c r="F96" s="10" t="s">
        <v>1010</v>
      </c>
      <c r="G96" s="11" t="s">
        <v>27</v>
      </c>
      <c r="H96" s="18" t="s">
        <v>1011</v>
      </c>
    </row>
    <row r="97" customFormat="false" ht="23.85" hidden="false" customHeight="false" outlineLevel="0" collapsed="false">
      <c r="A97" s="10" t="s">
        <v>1012</v>
      </c>
      <c r="B97" s="10" t="s">
        <v>953</v>
      </c>
      <c r="C97" s="10" t="s">
        <v>1013</v>
      </c>
      <c r="D97" s="10" t="s">
        <v>1014</v>
      </c>
      <c r="E97" s="10" t="s">
        <v>1015</v>
      </c>
      <c r="F97" s="10" t="s">
        <v>1016</v>
      </c>
      <c r="G97" s="11" t="s">
        <v>27</v>
      </c>
      <c r="H97" s="18" t="s">
        <v>1017</v>
      </c>
    </row>
    <row r="98" customFormat="false" ht="23.85" hidden="false" customHeight="false" outlineLevel="0" collapsed="false">
      <c r="A98" s="10" t="s">
        <v>1018</v>
      </c>
      <c r="B98" s="10" t="s">
        <v>1019</v>
      </c>
      <c r="C98" s="10" t="s">
        <v>1020</v>
      </c>
      <c r="D98" s="10" t="s">
        <v>1021</v>
      </c>
      <c r="E98" s="10" t="s">
        <v>1022</v>
      </c>
      <c r="F98" s="10" t="s">
        <v>1023</v>
      </c>
      <c r="G98" s="16" t="s">
        <v>29</v>
      </c>
      <c r="H98" s="18" t="s">
        <v>799</v>
      </c>
    </row>
    <row r="99" customFormat="false" ht="23.85" hidden="false" customHeight="false" outlineLevel="0" collapsed="false">
      <c r="A99" s="10" t="s">
        <v>1024</v>
      </c>
      <c r="B99" s="10" t="s">
        <v>1019</v>
      </c>
      <c r="C99" s="10" t="s">
        <v>1025</v>
      </c>
      <c r="D99" s="10" t="s">
        <v>1026</v>
      </c>
      <c r="E99" s="10" t="s">
        <v>1027</v>
      </c>
      <c r="F99" s="10" t="s">
        <v>1028</v>
      </c>
      <c r="G99" s="11" t="s">
        <v>27</v>
      </c>
      <c r="H99" s="18" t="s">
        <v>1029</v>
      </c>
    </row>
    <row r="100" customFormat="false" ht="23.85" hidden="false" customHeight="false" outlineLevel="0" collapsed="false">
      <c r="A100" s="10" t="s">
        <v>1030</v>
      </c>
      <c r="B100" s="10" t="s">
        <v>1019</v>
      </c>
      <c r="C100" s="10" t="s">
        <v>1031</v>
      </c>
      <c r="D100" s="10" t="s">
        <v>1032</v>
      </c>
      <c r="E100" s="10" t="s">
        <v>1033</v>
      </c>
      <c r="F100" s="10" t="s">
        <v>1034</v>
      </c>
      <c r="G100" s="11" t="s">
        <v>27</v>
      </c>
      <c r="H100" s="18" t="s">
        <v>1035</v>
      </c>
    </row>
    <row r="101" customFormat="false" ht="23.85" hidden="false" customHeight="false" outlineLevel="0" collapsed="false">
      <c r="A101" s="10" t="s">
        <v>1036</v>
      </c>
      <c r="B101" s="10" t="s">
        <v>1019</v>
      </c>
      <c r="C101" s="10" t="s">
        <v>1037</v>
      </c>
      <c r="D101" s="10" t="s">
        <v>1026</v>
      </c>
      <c r="E101" s="10" t="s">
        <v>1038</v>
      </c>
      <c r="F101" s="10" t="s">
        <v>1039</v>
      </c>
      <c r="G101" s="11" t="s">
        <v>27</v>
      </c>
      <c r="H101" s="18" t="s">
        <v>1040</v>
      </c>
    </row>
    <row r="102" customFormat="false" ht="23.85" hidden="false" customHeight="false" outlineLevel="0" collapsed="false">
      <c r="A102" s="10" t="s">
        <v>1041</v>
      </c>
      <c r="B102" s="10" t="s">
        <v>1019</v>
      </c>
      <c r="C102" s="10" t="s">
        <v>1042</v>
      </c>
      <c r="D102" s="10" t="s">
        <v>1043</v>
      </c>
      <c r="E102" s="10" t="s">
        <v>1044</v>
      </c>
      <c r="F102" s="10" t="s">
        <v>1045</v>
      </c>
      <c r="G102" s="11" t="s">
        <v>27</v>
      </c>
      <c r="H102" s="18" t="s">
        <v>1046</v>
      </c>
    </row>
    <row r="103" customFormat="false" ht="35.05" hidden="false" customHeight="false" outlineLevel="0" collapsed="false">
      <c r="A103" s="10" t="s">
        <v>1047</v>
      </c>
      <c r="B103" s="10" t="s">
        <v>1019</v>
      </c>
      <c r="C103" s="10" t="s">
        <v>1048</v>
      </c>
      <c r="D103" s="10" t="s">
        <v>1026</v>
      </c>
      <c r="E103" s="10" t="s">
        <v>1049</v>
      </c>
      <c r="F103" s="10" t="s">
        <v>1050</v>
      </c>
      <c r="G103" s="16" t="s">
        <v>29</v>
      </c>
      <c r="H103" s="18" t="s">
        <v>1051</v>
      </c>
    </row>
    <row r="104" customFormat="false" ht="23.85" hidden="false" customHeight="false" outlineLevel="0" collapsed="false">
      <c r="A104" s="10" t="s">
        <v>1052</v>
      </c>
      <c r="B104" s="10" t="s">
        <v>1019</v>
      </c>
      <c r="C104" s="10" t="s">
        <v>1053</v>
      </c>
      <c r="D104" s="10" t="s">
        <v>1054</v>
      </c>
      <c r="E104" s="10" t="s">
        <v>1055</v>
      </c>
      <c r="F104" s="10" t="s">
        <v>1056</v>
      </c>
      <c r="G104" s="11" t="s">
        <v>27</v>
      </c>
      <c r="H104" s="18" t="s">
        <v>517</v>
      </c>
    </row>
    <row r="105" customFormat="false" ht="35.05" hidden="false" customHeight="false" outlineLevel="0" collapsed="false">
      <c r="A105" s="10" t="s">
        <v>1057</v>
      </c>
      <c r="B105" s="10" t="s">
        <v>1019</v>
      </c>
      <c r="C105" s="10" t="s">
        <v>1058</v>
      </c>
      <c r="D105" s="10" t="s">
        <v>1059</v>
      </c>
      <c r="E105" s="10" t="s">
        <v>1060</v>
      </c>
      <c r="F105" s="10" t="s">
        <v>1061</v>
      </c>
      <c r="G105" s="11" t="s">
        <v>27</v>
      </c>
      <c r="H105" s="18" t="s">
        <v>1062</v>
      </c>
    </row>
    <row r="106" customFormat="false" ht="23.85" hidden="false" customHeight="false" outlineLevel="0" collapsed="false">
      <c r="A106" s="10" t="s">
        <v>1063</v>
      </c>
      <c r="B106" s="10" t="s">
        <v>1019</v>
      </c>
      <c r="C106" s="10" t="s">
        <v>1064</v>
      </c>
      <c r="D106" s="10" t="s">
        <v>142</v>
      </c>
      <c r="E106" s="10" t="s">
        <v>1065</v>
      </c>
      <c r="F106" s="10" t="s">
        <v>1066</v>
      </c>
      <c r="G106" s="16" t="s">
        <v>29</v>
      </c>
      <c r="H106" s="18" t="s">
        <v>1067</v>
      </c>
    </row>
    <row r="107" customFormat="false" ht="35.05" hidden="false" customHeight="false" outlineLevel="0" collapsed="false">
      <c r="A107" s="10" t="s">
        <v>1068</v>
      </c>
      <c r="B107" s="10" t="s">
        <v>1019</v>
      </c>
      <c r="C107" s="10" t="s">
        <v>1069</v>
      </c>
      <c r="D107" s="10" t="s">
        <v>1070</v>
      </c>
      <c r="E107" s="10" t="s">
        <v>1071</v>
      </c>
      <c r="F107" s="10" t="s">
        <v>1072</v>
      </c>
      <c r="G107" s="11" t="s">
        <v>27</v>
      </c>
      <c r="H107" s="18" t="s">
        <v>1073</v>
      </c>
    </row>
    <row r="108" customFormat="false" ht="35.05" hidden="false" customHeight="false" outlineLevel="0" collapsed="false">
      <c r="A108" s="10" t="s">
        <v>1074</v>
      </c>
      <c r="B108" s="10" t="s">
        <v>1075</v>
      </c>
      <c r="C108" s="10" t="s">
        <v>1076</v>
      </c>
      <c r="D108" s="10" t="s">
        <v>1077</v>
      </c>
      <c r="E108" s="10" t="s">
        <v>1078</v>
      </c>
      <c r="F108" s="10" t="s">
        <v>1079</v>
      </c>
      <c r="G108" s="16" t="s">
        <v>29</v>
      </c>
      <c r="H108" s="18" t="s">
        <v>1051</v>
      </c>
    </row>
    <row r="109" customFormat="false" ht="23.85" hidden="false" customHeight="false" outlineLevel="0" collapsed="false">
      <c r="A109" s="10" t="s">
        <v>1080</v>
      </c>
      <c r="B109" s="10" t="s">
        <v>1075</v>
      </c>
      <c r="C109" s="10" t="s">
        <v>1081</v>
      </c>
      <c r="D109" s="10" t="s">
        <v>1082</v>
      </c>
      <c r="E109" s="10" t="s">
        <v>1083</v>
      </c>
      <c r="F109" s="10" t="s">
        <v>1084</v>
      </c>
      <c r="G109" s="16" t="s">
        <v>29</v>
      </c>
      <c r="H109" s="18" t="s">
        <v>523</v>
      </c>
    </row>
    <row r="110" customFormat="false" ht="23.85" hidden="false" customHeight="false" outlineLevel="0" collapsed="false">
      <c r="A110" s="10" t="s">
        <v>1085</v>
      </c>
      <c r="B110" s="10" t="s">
        <v>1075</v>
      </c>
      <c r="C110" s="10" t="s">
        <v>1086</v>
      </c>
      <c r="D110" s="10" t="s">
        <v>375</v>
      </c>
      <c r="E110" s="10" t="s">
        <v>1087</v>
      </c>
      <c r="F110" s="10" t="s">
        <v>1088</v>
      </c>
      <c r="G110" s="11" t="s">
        <v>27</v>
      </c>
      <c r="H110" s="18" t="s">
        <v>1089</v>
      </c>
    </row>
    <row r="111" customFormat="false" ht="35.05" hidden="false" customHeight="false" outlineLevel="0" collapsed="false">
      <c r="A111" s="10" t="s">
        <v>326</v>
      </c>
      <c r="B111" s="10" t="s">
        <v>1075</v>
      </c>
      <c r="C111" s="10" t="s">
        <v>1090</v>
      </c>
      <c r="D111" s="10" t="s">
        <v>1091</v>
      </c>
      <c r="E111" s="10" t="s">
        <v>1092</v>
      </c>
      <c r="F111" s="10" t="s">
        <v>1093</v>
      </c>
      <c r="G111" s="14" t="s">
        <v>30</v>
      </c>
      <c r="H111" s="18" t="s">
        <v>1094</v>
      </c>
    </row>
    <row r="112" customFormat="false" ht="23.85" hidden="false" customHeight="false" outlineLevel="0" collapsed="false">
      <c r="A112" s="10" t="s">
        <v>389</v>
      </c>
      <c r="B112" s="10" t="s">
        <v>1075</v>
      </c>
      <c r="C112" s="10" t="s">
        <v>1095</v>
      </c>
      <c r="D112" s="10" t="s">
        <v>1096</v>
      </c>
      <c r="E112" s="10" t="s">
        <v>1097</v>
      </c>
      <c r="F112" s="10" t="s">
        <v>1098</v>
      </c>
      <c r="G112" s="11" t="s">
        <v>27</v>
      </c>
      <c r="H112" s="18" t="s">
        <v>586</v>
      </c>
    </row>
    <row r="113" customFormat="false" ht="35.05" hidden="false" customHeight="false" outlineLevel="0" collapsed="false">
      <c r="A113" s="10" t="s">
        <v>1099</v>
      </c>
      <c r="B113" s="10" t="s">
        <v>106</v>
      </c>
      <c r="C113" s="10" t="s">
        <v>1100</v>
      </c>
      <c r="D113" s="10" t="s">
        <v>106</v>
      </c>
      <c r="E113" s="10" t="s">
        <v>1101</v>
      </c>
      <c r="F113" s="10" t="s">
        <v>1102</v>
      </c>
      <c r="G113" s="11" t="s">
        <v>27</v>
      </c>
      <c r="H113" s="18" t="s">
        <v>1103</v>
      </c>
    </row>
    <row r="114" customFormat="false" ht="35.05" hidden="false" customHeight="false" outlineLevel="0" collapsed="false">
      <c r="A114" s="10" t="s">
        <v>1104</v>
      </c>
      <c r="B114" s="10" t="s">
        <v>106</v>
      </c>
      <c r="C114" s="10" t="s">
        <v>1105</v>
      </c>
      <c r="D114" s="10" t="s">
        <v>106</v>
      </c>
      <c r="E114" s="10" t="s">
        <v>1106</v>
      </c>
      <c r="F114" s="10" t="s">
        <v>1107</v>
      </c>
      <c r="G114" s="11" t="s">
        <v>27</v>
      </c>
      <c r="H114" s="18" t="s">
        <v>1103</v>
      </c>
    </row>
    <row r="115" customFormat="false" ht="23.85" hidden="false" customHeight="false" outlineLevel="0" collapsed="false">
      <c r="A115" s="10" t="s">
        <v>1108</v>
      </c>
      <c r="B115" s="10" t="s">
        <v>106</v>
      </c>
      <c r="C115" s="10" t="s">
        <v>1109</v>
      </c>
      <c r="D115" s="10" t="s">
        <v>106</v>
      </c>
      <c r="E115" s="10" t="s">
        <v>1110</v>
      </c>
      <c r="F115" s="10" t="s">
        <v>1111</v>
      </c>
      <c r="G115" s="11" t="s">
        <v>27</v>
      </c>
      <c r="H115" s="18" t="s">
        <v>1112</v>
      </c>
    </row>
    <row r="116" customFormat="false" ht="23.85" hidden="false" customHeight="false" outlineLevel="0" collapsed="false">
      <c r="A116" s="10" t="s">
        <v>1113</v>
      </c>
      <c r="B116" s="10" t="s">
        <v>106</v>
      </c>
      <c r="C116" s="10" t="s">
        <v>1114</v>
      </c>
      <c r="D116" s="10" t="s">
        <v>106</v>
      </c>
      <c r="E116" s="10" t="s">
        <v>1115</v>
      </c>
      <c r="F116" s="10" t="s">
        <v>1116</v>
      </c>
      <c r="G116" s="11" t="s">
        <v>27</v>
      </c>
      <c r="H116" s="18" t="s">
        <v>1112</v>
      </c>
    </row>
    <row r="117" customFormat="false" ht="23.85" hidden="false" customHeight="false" outlineLevel="0" collapsed="false">
      <c r="A117" s="10" t="s">
        <v>1117</v>
      </c>
      <c r="B117" s="10" t="s">
        <v>106</v>
      </c>
      <c r="C117" s="10" t="s">
        <v>1118</v>
      </c>
      <c r="D117" s="10" t="s">
        <v>106</v>
      </c>
      <c r="E117" s="10" t="s">
        <v>1119</v>
      </c>
      <c r="F117" s="10" t="s">
        <v>1120</v>
      </c>
      <c r="G117" s="11" t="s">
        <v>27</v>
      </c>
      <c r="H117" s="18" t="s">
        <v>1103</v>
      </c>
    </row>
    <row r="118" customFormat="false" ht="23.85" hidden="false" customHeight="false" outlineLevel="0" collapsed="false">
      <c r="A118" s="10" t="s">
        <v>1121</v>
      </c>
      <c r="B118" s="10" t="s">
        <v>443</v>
      </c>
      <c r="C118" s="10" t="s">
        <v>1122</v>
      </c>
      <c r="D118" s="10" t="s">
        <v>1123</v>
      </c>
      <c r="E118" s="10" t="s">
        <v>1124</v>
      </c>
      <c r="F118" s="10" t="s">
        <v>1125</v>
      </c>
      <c r="G118" s="11" t="s">
        <v>27</v>
      </c>
      <c r="H118" s="18" t="s">
        <v>1126</v>
      </c>
    </row>
    <row r="119" customFormat="false" ht="23.85" hidden="false" customHeight="false" outlineLevel="0" collapsed="false">
      <c r="A119" s="10" t="s">
        <v>1127</v>
      </c>
      <c r="B119" s="10" t="s">
        <v>443</v>
      </c>
      <c r="C119" s="10" t="s">
        <v>1128</v>
      </c>
      <c r="D119" s="10" t="s">
        <v>1129</v>
      </c>
      <c r="E119" s="10" t="s">
        <v>1130</v>
      </c>
      <c r="F119" s="10" t="s">
        <v>1125</v>
      </c>
      <c r="G119" s="11" t="s">
        <v>27</v>
      </c>
      <c r="H119" s="18" t="s">
        <v>1126</v>
      </c>
    </row>
    <row r="120" customFormat="false" ht="23.85" hidden="false" customHeight="false" outlineLevel="0" collapsed="false">
      <c r="A120" s="10" t="s">
        <v>1131</v>
      </c>
      <c r="B120" s="10" t="s">
        <v>443</v>
      </c>
      <c r="C120" s="10" t="s">
        <v>1132</v>
      </c>
      <c r="D120" s="10" t="s">
        <v>1133</v>
      </c>
      <c r="E120" s="10" t="s">
        <v>1134</v>
      </c>
      <c r="F120" s="10" t="s">
        <v>872</v>
      </c>
      <c r="G120" s="11" t="s">
        <v>27</v>
      </c>
      <c r="H120" s="18" t="s">
        <v>873</v>
      </c>
    </row>
    <row r="121" customFormat="false" ht="23.85" hidden="false" customHeight="false" outlineLevel="0" collapsed="false">
      <c r="A121" s="10" t="s">
        <v>1135</v>
      </c>
      <c r="B121" s="10" t="s">
        <v>443</v>
      </c>
      <c r="C121" s="10" t="s">
        <v>1136</v>
      </c>
      <c r="D121" s="10" t="s">
        <v>1123</v>
      </c>
      <c r="E121" s="10" t="s">
        <v>1137</v>
      </c>
      <c r="F121" s="10" t="s">
        <v>1138</v>
      </c>
      <c r="G121" s="15" t="s">
        <v>28</v>
      </c>
      <c r="H121" s="18" t="s">
        <v>1139</v>
      </c>
    </row>
    <row r="122" customFormat="false" ht="35.05" hidden="false" customHeight="false" outlineLevel="0" collapsed="false">
      <c r="A122" s="10" t="s">
        <v>1140</v>
      </c>
      <c r="B122" s="10" t="s">
        <v>1141</v>
      </c>
      <c r="C122" s="10" t="s">
        <v>1142</v>
      </c>
      <c r="D122" s="10" t="s">
        <v>1143</v>
      </c>
      <c r="E122" s="10" t="s">
        <v>1144</v>
      </c>
      <c r="F122" s="10" t="s">
        <v>1145</v>
      </c>
      <c r="G122" s="11" t="s">
        <v>27</v>
      </c>
      <c r="H122" s="18" t="s">
        <v>1146</v>
      </c>
    </row>
    <row r="123" customFormat="false" ht="23.85" hidden="false" customHeight="false" outlineLevel="0" collapsed="false">
      <c r="A123" s="10" t="s">
        <v>1147</v>
      </c>
      <c r="B123" s="10" t="s">
        <v>1141</v>
      </c>
      <c r="C123" s="10" t="s">
        <v>1148</v>
      </c>
      <c r="D123" s="10" t="s">
        <v>1149</v>
      </c>
      <c r="E123" s="10" t="s">
        <v>1150</v>
      </c>
      <c r="F123" s="10" t="s">
        <v>1151</v>
      </c>
      <c r="G123" s="16" t="s">
        <v>29</v>
      </c>
      <c r="H123" s="18" t="s">
        <v>1152</v>
      </c>
    </row>
    <row r="124" customFormat="false" ht="23.85" hidden="false" customHeight="false" outlineLevel="0" collapsed="false">
      <c r="A124" s="10" t="s">
        <v>1153</v>
      </c>
      <c r="B124" s="10" t="s">
        <v>1141</v>
      </c>
      <c r="C124" s="10" t="s">
        <v>1154</v>
      </c>
      <c r="D124" s="10" t="s">
        <v>1155</v>
      </c>
      <c r="E124" s="10" t="s">
        <v>1156</v>
      </c>
      <c r="F124" s="10" t="s">
        <v>1157</v>
      </c>
      <c r="G124" s="11" t="s">
        <v>27</v>
      </c>
      <c r="H124" s="18" t="s">
        <v>1158</v>
      </c>
    </row>
    <row r="125" customFormat="false" ht="23.85" hidden="false" customHeight="false" outlineLevel="0" collapsed="false">
      <c r="A125" s="10" t="s">
        <v>1159</v>
      </c>
      <c r="B125" s="10" t="s">
        <v>1141</v>
      </c>
      <c r="C125" s="10" t="s">
        <v>1160</v>
      </c>
      <c r="D125" s="10" t="s">
        <v>1143</v>
      </c>
      <c r="E125" s="10" t="s">
        <v>1161</v>
      </c>
      <c r="F125" s="10" t="s">
        <v>1162</v>
      </c>
      <c r="G125" s="11" t="s">
        <v>27</v>
      </c>
      <c r="H125" s="18" t="s">
        <v>1163</v>
      </c>
    </row>
    <row r="126" customFormat="false" ht="23.85" hidden="false" customHeight="false" outlineLevel="0" collapsed="false">
      <c r="A126" s="10" t="s">
        <v>1164</v>
      </c>
      <c r="B126" s="10" t="s">
        <v>1165</v>
      </c>
      <c r="C126" s="10" t="s">
        <v>1166</v>
      </c>
      <c r="D126" s="10" t="s">
        <v>1143</v>
      </c>
      <c r="E126" s="10" t="s">
        <v>1167</v>
      </c>
      <c r="F126" s="10" t="s">
        <v>1168</v>
      </c>
      <c r="G126" s="15" t="s">
        <v>28</v>
      </c>
      <c r="H126" s="18" t="s">
        <v>1169</v>
      </c>
    </row>
    <row r="127" customFormat="false" ht="46.25" hidden="false" customHeight="false" outlineLevel="0" collapsed="false">
      <c r="A127" s="10" t="s">
        <v>1170</v>
      </c>
      <c r="B127" s="10" t="s">
        <v>1165</v>
      </c>
      <c r="C127" s="10" t="s">
        <v>1171</v>
      </c>
      <c r="D127" s="10" t="s">
        <v>1172</v>
      </c>
      <c r="E127" s="10" t="s">
        <v>1173</v>
      </c>
      <c r="F127" s="10" t="s">
        <v>1174</v>
      </c>
      <c r="G127" s="15" t="s">
        <v>28</v>
      </c>
      <c r="H127" s="18" t="s">
        <v>1175</v>
      </c>
    </row>
    <row r="128" customFormat="false" ht="35.05" hidden="false" customHeight="false" outlineLevel="0" collapsed="false">
      <c r="A128" s="10" t="s">
        <v>1176</v>
      </c>
      <c r="B128" s="10" t="s">
        <v>1165</v>
      </c>
      <c r="C128" s="10" t="s">
        <v>1177</v>
      </c>
      <c r="D128" s="10" t="s">
        <v>1178</v>
      </c>
      <c r="E128" s="10" t="s">
        <v>1179</v>
      </c>
      <c r="F128" s="10" t="s">
        <v>1180</v>
      </c>
      <c r="G128" s="15" t="s">
        <v>28</v>
      </c>
      <c r="H128" s="18" t="s">
        <v>1139</v>
      </c>
    </row>
    <row r="129" customFormat="false" ht="35.05" hidden="false" customHeight="false" outlineLevel="0" collapsed="false">
      <c r="A129" s="10" t="s">
        <v>1181</v>
      </c>
      <c r="B129" s="10" t="s">
        <v>1165</v>
      </c>
      <c r="C129" s="10" t="s">
        <v>1182</v>
      </c>
      <c r="D129" s="10" t="s">
        <v>1183</v>
      </c>
      <c r="E129" s="10" t="s">
        <v>1184</v>
      </c>
      <c r="F129" s="10" t="s">
        <v>1168</v>
      </c>
      <c r="G129" s="15" t="s">
        <v>28</v>
      </c>
      <c r="H129" s="18" t="s">
        <v>1169</v>
      </c>
    </row>
    <row r="130" customFormat="false" ht="35.05" hidden="false" customHeight="false" outlineLevel="0" collapsed="false">
      <c r="A130" s="10" t="s">
        <v>1185</v>
      </c>
      <c r="B130" s="10" t="s">
        <v>1165</v>
      </c>
      <c r="C130" s="10" t="s">
        <v>1186</v>
      </c>
      <c r="D130" s="10" t="s">
        <v>1172</v>
      </c>
      <c r="E130" s="10" t="s">
        <v>1187</v>
      </c>
      <c r="F130" s="10" t="s">
        <v>1188</v>
      </c>
      <c r="G130" s="11" t="s">
        <v>27</v>
      </c>
      <c r="H130" s="18" t="s">
        <v>1189</v>
      </c>
    </row>
    <row r="131" customFormat="false" ht="35.05" hidden="false" customHeight="false" outlineLevel="0" collapsed="false">
      <c r="A131" s="10" t="s">
        <v>1190</v>
      </c>
      <c r="B131" s="10" t="s">
        <v>1165</v>
      </c>
      <c r="C131" s="10" t="s">
        <v>1191</v>
      </c>
      <c r="D131" s="10" t="s">
        <v>1192</v>
      </c>
      <c r="E131" s="10" t="s">
        <v>1193</v>
      </c>
      <c r="F131" s="10" t="s">
        <v>1194</v>
      </c>
      <c r="G131" s="15" t="s">
        <v>28</v>
      </c>
      <c r="H131" s="18" t="s">
        <v>1195</v>
      </c>
    </row>
    <row r="132" customFormat="false" ht="23.85" hidden="false" customHeight="false" outlineLevel="0" collapsed="false">
      <c r="A132" s="10" t="s">
        <v>1196</v>
      </c>
      <c r="B132" s="10" t="s">
        <v>1165</v>
      </c>
      <c r="C132" s="10" t="s">
        <v>1197</v>
      </c>
      <c r="D132" s="10" t="s">
        <v>1198</v>
      </c>
      <c r="E132" s="10" t="s">
        <v>1199</v>
      </c>
      <c r="F132" s="10" t="s">
        <v>1200</v>
      </c>
      <c r="G132" s="15" t="s">
        <v>28</v>
      </c>
      <c r="H132" s="18" t="s">
        <v>1195</v>
      </c>
    </row>
    <row r="133" customFormat="false" ht="35.05" hidden="false" customHeight="false" outlineLevel="0" collapsed="false">
      <c r="A133" s="10" t="s">
        <v>1201</v>
      </c>
      <c r="B133" s="10" t="s">
        <v>1165</v>
      </c>
      <c r="C133" s="10" t="s">
        <v>1202</v>
      </c>
      <c r="D133" s="10" t="s">
        <v>1203</v>
      </c>
      <c r="E133" s="10" t="s">
        <v>1204</v>
      </c>
      <c r="F133" s="10" t="s">
        <v>1205</v>
      </c>
      <c r="G133" s="16" t="s">
        <v>29</v>
      </c>
      <c r="H133" s="18" t="s">
        <v>1206</v>
      </c>
    </row>
    <row r="134" customFormat="false" ht="23.85" hidden="false" customHeight="false" outlineLevel="0" collapsed="false">
      <c r="A134" s="10" t="s">
        <v>1207</v>
      </c>
      <c r="B134" s="10" t="s">
        <v>1165</v>
      </c>
      <c r="C134" s="10" t="s">
        <v>1208</v>
      </c>
      <c r="D134" s="10" t="s">
        <v>1209</v>
      </c>
      <c r="E134" s="10" t="s">
        <v>1210</v>
      </c>
      <c r="F134" s="10" t="s">
        <v>1211</v>
      </c>
      <c r="G134" s="11" t="s">
        <v>27</v>
      </c>
      <c r="H134" s="18" t="s">
        <v>1212</v>
      </c>
    </row>
    <row r="135" customFormat="false" ht="35.05" hidden="false" customHeight="false" outlineLevel="0" collapsed="false">
      <c r="A135" s="10" t="s">
        <v>1213</v>
      </c>
      <c r="B135" s="10" t="s">
        <v>1165</v>
      </c>
      <c r="C135" s="10" t="s">
        <v>1214</v>
      </c>
      <c r="D135" s="10" t="s">
        <v>1215</v>
      </c>
      <c r="E135" s="10" t="s">
        <v>1216</v>
      </c>
      <c r="F135" s="10" t="s">
        <v>1217</v>
      </c>
      <c r="G135" s="11" t="s">
        <v>27</v>
      </c>
      <c r="H135" s="18" t="s">
        <v>1218</v>
      </c>
    </row>
    <row r="136" customFormat="false" ht="23.85" hidden="false" customHeight="false" outlineLevel="0" collapsed="false">
      <c r="A136" s="10" t="s">
        <v>1219</v>
      </c>
      <c r="B136" s="10" t="s">
        <v>1165</v>
      </c>
      <c r="C136" s="10" t="s">
        <v>1220</v>
      </c>
      <c r="D136" s="10" t="s">
        <v>1221</v>
      </c>
      <c r="E136" s="10" t="s">
        <v>1222</v>
      </c>
      <c r="F136" s="10" t="s">
        <v>1223</v>
      </c>
      <c r="G136" s="11" t="s">
        <v>27</v>
      </c>
      <c r="H136" s="18" t="s">
        <v>1224</v>
      </c>
    </row>
    <row r="137" customFormat="false" ht="23.85" hidden="false" customHeight="false" outlineLevel="0" collapsed="false">
      <c r="A137" s="10" t="s">
        <v>1225</v>
      </c>
      <c r="B137" s="10" t="s">
        <v>1226</v>
      </c>
      <c r="C137" s="10" t="s">
        <v>1227</v>
      </c>
      <c r="D137" s="10" t="s">
        <v>1228</v>
      </c>
      <c r="E137" s="10" t="s">
        <v>1229</v>
      </c>
      <c r="F137" s="10" t="s">
        <v>1230</v>
      </c>
      <c r="G137" s="15" t="s">
        <v>28</v>
      </c>
      <c r="H137" s="18" t="s">
        <v>1231</v>
      </c>
    </row>
    <row r="138" customFormat="false" ht="35.05" hidden="false" customHeight="false" outlineLevel="0" collapsed="false">
      <c r="A138" s="10" t="s">
        <v>1232</v>
      </c>
      <c r="B138" s="10" t="s">
        <v>1226</v>
      </c>
      <c r="C138" s="10" t="s">
        <v>1233</v>
      </c>
      <c r="D138" s="10" t="s">
        <v>1234</v>
      </c>
      <c r="E138" s="10" t="s">
        <v>1235</v>
      </c>
      <c r="F138" s="10" t="s">
        <v>1200</v>
      </c>
      <c r="G138" s="15" t="s">
        <v>28</v>
      </c>
      <c r="H138" s="18" t="s">
        <v>1195</v>
      </c>
    </row>
    <row r="139" customFormat="false" ht="23.85" hidden="false" customHeight="false" outlineLevel="0" collapsed="false">
      <c r="A139" s="10" t="s">
        <v>1236</v>
      </c>
      <c r="B139" s="10" t="s">
        <v>1226</v>
      </c>
      <c r="C139" s="10" t="s">
        <v>1237</v>
      </c>
      <c r="D139" s="10" t="s">
        <v>1238</v>
      </c>
      <c r="E139" s="10" t="s">
        <v>1239</v>
      </c>
      <c r="F139" s="10" t="s">
        <v>1240</v>
      </c>
      <c r="G139" s="15" t="s">
        <v>28</v>
      </c>
      <c r="H139" s="18" t="s">
        <v>1241</v>
      </c>
    </row>
    <row r="140" customFormat="false" ht="23.85" hidden="false" customHeight="false" outlineLevel="0" collapsed="false">
      <c r="A140" s="10" t="s">
        <v>1242</v>
      </c>
      <c r="B140" s="10" t="s">
        <v>1226</v>
      </c>
      <c r="C140" s="10" t="s">
        <v>1243</v>
      </c>
      <c r="D140" s="10" t="s">
        <v>1244</v>
      </c>
      <c r="E140" s="10" t="s">
        <v>1245</v>
      </c>
      <c r="F140" s="10" t="s">
        <v>1246</v>
      </c>
      <c r="G140" s="15" t="s">
        <v>28</v>
      </c>
      <c r="H140" s="18" t="s">
        <v>1247</v>
      </c>
    </row>
    <row r="141" customFormat="false" ht="23.85" hidden="false" customHeight="false" outlineLevel="0" collapsed="false">
      <c r="A141" s="10" t="s">
        <v>1248</v>
      </c>
      <c r="B141" s="10" t="s">
        <v>1249</v>
      </c>
      <c r="C141" s="10" t="s">
        <v>1250</v>
      </c>
      <c r="D141" s="10" t="s">
        <v>1143</v>
      </c>
      <c r="E141" s="10" t="s">
        <v>1251</v>
      </c>
      <c r="F141" s="10" t="s">
        <v>1252</v>
      </c>
      <c r="G141" s="11" t="s">
        <v>27</v>
      </c>
      <c r="H141" s="18" t="s">
        <v>1253</v>
      </c>
    </row>
    <row r="142" customFormat="false" ht="23.85" hidden="false" customHeight="false" outlineLevel="0" collapsed="false">
      <c r="A142" s="10" t="s">
        <v>1254</v>
      </c>
      <c r="B142" s="10" t="s">
        <v>1249</v>
      </c>
      <c r="C142" s="10" t="s">
        <v>1255</v>
      </c>
      <c r="D142" s="10" t="s">
        <v>1256</v>
      </c>
      <c r="E142" s="10" t="s">
        <v>1257</v>
      </c>
      <c r="F142" s="10" t="s">
        <v>1258</v>
      </c>
      <c r="G142" s="11" t="s">
        <v>27</v>
      </c>
      <c r="H142" s="18" t="s">
        <v>1189</v>
      </c>
    </row>
    <row r="143" customFormat="false" ht="23.85" hidden="false" customHeight="false" outlineLevel="0" collapsed="false">
      <c r="A143" s="10" t="s">
        <v>1259</v>
      </c>
      <c r="B143" s="10" t="s">
        <v>1249</v>
      </c>
      <c r="C143" s="10" t="s">
        <v>1260</v>
      </c>
      <c r="D143" s="10" t="s">
        <v>1261</v>
      </c>
      <c r="E143" s="10" t="s">
        <v>1262</v>
      </c>
      <c r="F143" s="10" t="s">
        <v>1263</v>
      </c>
      <c r="G143" s="11" t="s">
        <v>27</v>
      </c>
      <c r="H143" s="18" t="s">
        <v>1264</v>
      </c>
    </row>
    <row r="144" customFormat="false" ht="23.85" hidden="false" customHeight="false" outlineLevel="0" collapsed="false">
      <c r="A144" s="10" t="s">
        <v>1265</v>
      </c>
      <c r="B144" s="10" t="s">
        <v>1249</v>
      </c>
      <c r="C144" s="10" t="s">
        <v>1266</v>
      </c>
      <c r="D144" s="10" t="s">
        <v>1267</v>
      </c>
      <c r="E144" s="10" t="s">
        <v>1268</v>
      </c>
      <c r="F144" s="10" t="s">
        <v>1269</v>
      </c>
      <c r="G144" s="11" t="s">
        <v>27</v>
      </c>
      <c r="H144" s="18" t="s">
        <v>1270</v>
      </c>
    </row>
    <row r="145" customFormat="false" ht="23.85" hidden="false" customHeight="false" outlineLevel="0" collapsed="false">
      <c r="A145" s="10" t="s">
        <v>1271</v>
      </c>
      <c r="B145" s="10" t="s">
        <v>1249</v>
      </c>
      <c r="C145" s="10" t="s">
        <v>1272</v>
      </c>
      <c r="D145" s="10" t="s">
        <v>1143</v>
      </c>
      <c r="E145" s="10" t="s">
        <v>1273</v>
      </c>
      <c r="F145" s="10" t="s">
        <v>1274</v>
      </c>
      <c r="G145" s="11" t="s">
        <v>27</v>
      </c>
      <c r="H145" s="18" t="s">
        <v>1275</v>
      </c>
    </row>
    <row r="146" customFormat="false" ht="23.85" hidden="false" customHeight="false" outlineLevel="0" collapsed="false">
      <c r="A146" s="10" t="s">
        <v>1276</v>
      </c>
      <c r="B146" s="10" t="s">
        <v>1249</v>
      </c>
      <c r="C146" s="10" t="s">
        <v>1277</v>
      </c>
      <c r="D146" s="10" t="s">
        <v>202</v>
      </c>
      <c r="E146" s="10" t="s">
        <v>1278</v>
      </c>
      <c r="F146" s="10" t="s">
        <v>1279</v>
      </c>
      <c r="G146" s="16" t="s">
        <v>29</v>
      </c>
      <c r="H146" s="18" t="s">
        <v>1280</v>
      </c>
    </row>
    <row r="147" customFormat="false" ht="23.85" hidden="false" customHeight="false" outlineLevel="0" collapsed="false">
      <c r="A147" s="10" t="s">
        <v>1281</v>
      </c>
      <c r="B147" s="10" t="s">
        <v>1249</v>
      </c>
      <c r="C147" s="10" t="s">
        <v>1282</v>
      </c>
      <c r="D147" s="10" t="s">
        <v>1283</v>
      </c>
      <c r="E147" s="10" t="s">
        <v>1284</v>
      </c>
      <c r="F147" s="10" t="s">
        <v>1285</v>
      </c>
      <c r="G147" s="16" t="s">
        <v>29</v>
      </c>
      <c r="H147" s="10"/>
    </row>
    <row r="148" customFormat="false" ht="23.85" hidden="false" customHeight="false" outlineLevel="0" collapsed="false">
      <c r="A148" s="10" t="s">
        <v>1286</v>
      </c>
      <c r="B148" s="10" t="s">
        <v>1287</v>
      </c>
      <c r="C148" s="10" t="s">
        <v>1288</v>
      </c>
      <c r="D148" s="10" t="s">
        <v>1172</v>
      </c>
      <c r="E148" s="10" t="s">
        <v>1289</v>
      </c>
      <c r="F148" s="10" t="s">
        <v>1290</v>
      </c>
      <c r="G148" s="15" t="s">
        <v>28</v>
      </c>
      <c r="H148" s="18" t="s">
        <v>1291</v>
      </c>
    </row>
    <row r="149" customFormat="false" ht="23.85" hidden="false" customHeight="false" outlineLevel="0" collapsed="false">
      <c r="A149" s="10" t="s">
        <v>1292</v>
      </c>
      <c r="B149" s="10" t="s">
        <v>1287</v>
      </c>
      <c r="C149" s="10" t="s">
        <v>1293</v>
      </c>
      <c r="D149" s="10" t="s">
        <v>1294</v>
      </c>
      <c r="E149" s="10" t="s">
        <v>1295</v>
      </c>
      <c r="F149" s="10" t="s">
        <v>1296</v>
      </c>
      <c r="G149" s="15" t="s">
        <v>28</v>
      </c>
      <c r="H149" s="18" t="s">
        <v>1297</v>
      </c>
    </row>
    <row r="150" customFormat="false" ht="23.85" hidden="false" customHeight="false" outlineLevel="0" collapsed="false">
      <c r="A150" s="10" t="s">
        <v>1298</v>
      </c>
      <c r="B150" s="10" t="s">
        <v>1287</v>
      </c>
      <c r="C150" s="10" t="s">
        <v>1299</v>
      </c>
      <c r="D150" s="10" t="s">
        <v>1143</v>
      </c>
      <c r="E150" s="10" t="s">
        <v>1300</v>
      </c>
      <c r="F150" s="10" t="s">
        <v>1301</v>
      </c>
      <c r="G150" s="15" t="s">
        <v>28</v>
      </c>
      <c r="H150" s="18" t="s">
        <v>1302</v>
      </c>
    </row>
    <row r="151" customFormat="false" ht="23.85" hidden="false" customHeight="false" outlineLevel="0" collapsed="false">
      <c r="A151" s="10" t="s">
        <v>1303</v>
      </c>
      <c r="B151" s="10" t="s">
        <v>1287</v>
      </c>
      <c r="C151" s="10" t="s">
        <v>1304</v>
      </c>
      <c r="D151" s="10" t="s">
        <v>837</v>
      </c>
      <c r="E151" s="10" t="s">
        <v>1305</v>
      </c>
      <c r="F151" s="10" t="s">
        <v>1306</v>
      </c>
      <c r="G151" s="15" t="s">
        <v>28</v>
      </c>
      <c r="H151" s="18" t="s">
        <v>840</v>
      </c>
    </row>
    <row r="152" customFormat="false" ht="57.45" hidden="false" customHeight="false" outlineLevel="0" collapsed="false">
      <c r="A152" s="10" t="s">
        <v>1307</v>
      </c>
      <c r="B152" s="10" t="s">
        <v>1308</v>
      </c>
      <c r="C152" s="10" t="s">
        <v>1309</v>
      </c>
      <c r="D152" s="10" t="s">
        <v>1310</v>
      </c>
      <c r="E152" s="10" t="s">
        <v>1311</v>
      </c>
      <c r="F152" s="10" t="s">
        <v>1312</v>
      </c>
      <c r="G152" s="14" t="s">
        <v>30</v>
      </c>
      <c r="H152" s="18" t="s">
        <v>1313</v>
      </c>
    </row>
    <row r="153" customFormat="false" ht="57.45" hidden="false" customHeight="false" outlineLevel="0" collapsed="false">
      <c r="A153" s="10" t="s">
        <v>1314</v>
      </c>
      <c r="B153" s="10" t="s">
        <v>1308</v>
      </c>
      <c r="C153" s="10" t="s">
        <v>1315</v>
      </c>
      <c r="D153" s="10" t="s">
        <v>1316</v>
      </c>
      <c r="E153" s="10" t="s">
        <v>1317</v>
      </c>
      <c r="F153" s="10" t="s">
        <v>1318</v>
      </c>
      <c r="G153" s="14" t="s">
        <v>30</v>
      </c>
      <c r="H153" s="18" t="s">
        <v>1319</v>
      </c>
    </row>
    <row r="154" customFormat="false" ht="46.25" hidden="false" customHeight="false" outlineLevel="0" collapsed="false">
      <c r="A154" s="10" t="s">
        <v>1320</v>
      </c>
      <c r="B154" s="10" t="s">
        <v>1308</v>
      </c>
      <c r="C154" s="10" t="s">
        <v>1321</v>
      </c>
      <c r="D154" s="10" t="s">
        <v>1322</v>
      </c>
      <c r="E154" s="10" t="s">
        <v>1323</v>
      </c>
      <c r="F154" s="10" t="s">
        <v>1324</v>
      </c>
      <c r="G154" s="14" t="s">
        <v>30</v>
      </c>
      <c r="H154" s="18" t="s">
        <v>1325</v>
      </c>
    </row>
    <row r="155" customFormat="false" ht="23.85" hidden="false" customHeight="false" outlineLevel="0" collapsed="false">
      <c r="A155" s="10" t="s">
        <v>1326</v>
      </c>
      <c r="B155" s="10" t="s">
        <v>1308</v>
      </c>
      <c r="C155" s="10" t="s">
        <v>1327</v>
      </c>
      <c r="D155" s="10" t="s">
        <v>1328</v>
      </c>
      <c r="E155" s="10" t="s">
        <v>1329</v>
      </c>
      <c r="F155" s="10" t="s">
        <v>1330</v>
      </c>
      <c r="G155" s="14" t="s">
        <v>30</v>
      </c>
      <c r="H155" s="18" t="s">
        <v>1331</v>
      </c>
    </row>
    <row r="156" customFormat="false" ht="35.05" hidden="false" customHeight="false" outlineLevel="0" collapsed="false">
      <c r="A156" s="10" t="s">
        <v>1332</v>
      </c>
      <c r="B156" s="10" t="s">
        <v>1308</v>
      </c>
      <c r="C156" s="10" t="s">
        <v>1333</v>
      </c>
      <c r="D156" s="10" t="s">
        <v>1334</v>
      </c>
      <c r="E156" s="10" t="s">
        <v>1335</v>
      </c>
      <c r="F156" s="10" t="s">
        <v>1336</v>
      </c>
      <c r="G156" s="16" t="s">
        <v>29</v>
      </c>
      <c r="H156" s="18" t="s">
        <v>1337</v>
      </c>
    </row>
    <row r="157" customFormat="false" ht="46.25" hidden="false" customHeight="false" outlineLevel="0" collapsed="false">
      <c r="A157" s="10" t="s">
        <v>1338</v>
      </c>
      <c r="B157" s="10" t="s">
        <v>1308</v>
      </c>
      <c r="C157" s="10" t="s">
        <v>1339</v>
      </c>
      <c r="D157" s="10" t="s">
        <v>1340</v>
      </c>
      <c r="E157" s="10" t="s">
        <v>1341</v>
      </c>
      <c r="F157" s="10" t="s">
        <v>1342</v>
      </c>
      <c r="G157" s="14" t="s">
        <v>30</v>
      </c>
      <c r="H157" s="18" t="s">
        <v>974</v>
      </c>
    </row>
  </sheetData>
  <autoFilter ref="A1:H157"/>
  <hyperlinks>
    <hyperlink ref="H2" r:id="rId1" display="https://www.nngroup.com/articles/scrolling-and-attention/"/>
    <hyperlink ref="H3" r:id="rId2" display="https://www.nngroup.com/articles/homepage-design-principles/"/>
    <hyperlink ref="H4" r:id="rId3" display="https://www.nngroup.com/articles/f-shaped-pattern-reading-web-content-discovered/"/>
    <hyperlink ref="H5" r:id="rId4" display="https://www.nngroup.com/articles/photos-as-web-content/"/>
    <hyperlink ref="H6" r:id="rId5" display="https://www.nngroup.com/articles/hamburger-menus/"/>
    <hyperlink ref="H7" r:id="rId6" display="https://www.nngroup.com/articles/social-proof-ux/"/>
    <hyperlink ref="H8" r:id="rId7" display="https://doaj.org/article/30019e7bdeea4028b38558d51565cb57"/>
    <hyperlink ref="H9" r:id="rId8" display="https://www.abderm.org/media/40431/abms-2010-consumer-survey.pdf"/>
    <hyperlink ref="H10" r:id="rId9" display="https://credibility.stanford.edu/guidelines"/>
    <hyperlink ref="H11" r:id="rId10" display="https://www.w3.org/International/questions/qa-navigation-select"/>
    <hyperlink ref="H12" r:id="rId11" display="https://www.nngroup.com/videos/illusion-completeness/"/>
    <hyperlink ref="H13" r:id="rId12" display="https://web.dev/articles/lcp"/>
    <hyperlink ref="H14" r:id="rId13" display="https://www.jmir.org/2024/1/e51672"/>
    <hyperlink ref="H15" r:id="rId14" display="https://telehealth.hhs.gov/providers/preparing-patients-for-telehealth/creating-an-emergency-plan"/>
    <hyperlink ref="H16" r:id="rId15" display="https://formative.jmir.org/2023/1/e46446"/>
    <hyperlink ref="H17" r:id="rId16" display="https://www.nngroup.com/articles/writing-for-lower-literacy-users/"/>
    <hyperlink ref="H18" r:id="rId17" display="https://www.nngroup.com/articles/writing-for-lower-literacy-users/"/>
    <hyperlink ref="H19" r:id="rId18" display="https://www.certificationmatters.org/"/>
    <hyperlink ref="H20" r:id="rId19" display="https://credibility.stanford.edu/guidelines"/>
    <hyperlink ref="H21" r:id="rId20" display="https://www.nngroup.com/articles/progressive-disclosure/"/>
    <hyperlink ref="H22" r:id="rId21" display="https://lawsofux.com/hicks-law/"/>
    <hyperlink ref="H23" r:id="rId22" display="https://econsultancy.com/want-more-sales-give-consumers-fewer-options/"/>
    <hyperlink ref="H24" r:id="rId23" display="https://baymard.com/research-articles/autocomplete-design"/>
    <hyperlink ref="H25" r:id="rId24" display="https://baymard.com/research-articles/offer-autocomplete-suggestions-for-misspellings"/>
    <hyperlink ref="H26" r:id="rId25" display="https://baymard.com/research-articles/mobile-search-submit-button"/>
    <hyperlink ref="H27" r:id="rId26" display="https://baymard.com/research-articles/default-sort-type"/>
    <hyperlink ref="H28" r:id="rId27" display="https://www.smashingmagazine.com/2016/03/pagination-infinite-scrolling-load-more-buttons/"/>
    <hyperlink ref="H29" r:id="rId28" display="https://baymard.com/research-articles/no-results-page"/>
    <hyperlink ref="H30" r:id="rId29" display="https://baymard.com/research-articles/have-filters-for-list-item-info"/>
    <hyperlink ref="H31" r:id="rId30" display="https://doaj.org/article/e3139a066bae43858880c1712e6cd4cc"/>
    <hyperlink ref="H32" r:id="rId31" display="https://baymard.com/research-articles/allow-applying-of-multiple-filter-values"/>
    <hyperlink ref="H33" r:id="rId32" display="https://www.nngroup.com/articles/applying-filters/"/>
    <hyperlink ref="H34" r:id="rId33" display="https://baymard.com/guidelines/1125-apply-buttons-in-mobile-filtering-interfaces"/>
    <hyperlink ref="H35" r:id="rId34" display="https://baymard.com/blog/how-to-design-applied-filters"/>
    <hyperlink ref="H36" r:id="rId35" display="https://baymard.com/research-articles/truncation-design"/>
    <hyperlink ref="H37" r:id="rId36" display="https://www.nngroup.com/articles/cards-component/"/>
    <hyperlink ref="H38" r:id="rId37" display="https://www.nngroup.com/articles/breadcrumbs/"/>
    <hyperlink ref="H39" r:id="rId38" display="https://pubmed.ncbi.nlm.nih.gov/31147980/"/>
    <hyperlink ref="H40" r:id="rId39" display="https://www.lennysnewsletter.com/p/the-most-important-marketplace-metrics"/>
    <hyperlink ref="H41" r:id="rId40" display="https://baymard.com/research-articles/list-item-design-ecommerce"/>
    <hyperlink ref="H42" r:id="rId41" display="https://www.nngroup.com/articles/cards-component/"/>
    <hyperlink ref="H43" r:id="rId42" display="https://blog.doximity.com/articles/doctors-headshots-5-striking-lessons-from-500-000-physician-profiles"/>
    <hyperlink ref="H44" r:id="rId43" display="https://bmjopen.bmj.com/content/8/5/e021239"/>
    <hyperlink ref="H45" r:id="rId44" display="https://oecd-opsi.org/bi-projects/full-price-information-for-consumers-what-effect-does-the-way-prices-are-displayed-have-on-online-booking-behaviour-for-holiday-homes/"/>
    <hyperlink ref="H46" r:id="rId45" display="https://www.zocdoc.com/resources/case-studies/next-level-urgent-care-increased-booking-conversion/"/>
    <hyperlink ref="H47" r:id="rId46" display="https://baymard.com/research-articles/user-ratings-distribution-summary"/>
    <hyperlink ref="H48" r:id="rId47" display="https://spiegel.medill.northwestern.edu/How-Online-Reviews-Influence-Sales"/>
    <hyperlink ref="H49" r:id="rId48" display="https://ucmscdn.healthgrades.com/d6/24/00b66c3f4fa9941593d888fae713/best-practices-for-curating-provider-profiles.pdf"/>
    <hyperlink ref="H50" r:id="rId49" display="https://baymard.com/research-articles/make-guest-checkout-prominent"/>
    <hyperlink ref="H51" r:id="rId50" display="https://arxiv.org/pdf/1907.07032"/>
    <hyperlink ref="H52" r:id="rId51" display="https://humanfactors.jmir.org/2023//e50740/"/>
    <hyperlink ref="H53" r:id="rId52" display="https://cdn.repugen.com/src/resources/patient-review-survey-2024-v2.pdf"/>
    <hyperlink ref="H54" r:id="rId53" display="https://pinmeto.com/blog/risks-of-not-claiming-gmb-listings"/>
    <hyperlink ref="H55" r:id="rId54" display="https://en.wikipedia.org/wiki/Avvo"/>
    <hyperlink ref="H56" r:id="rId55" display="https://a16z.com/16-ways-to-measure-network-effects/"/>
    <hyperlink ref="H57" r:id="rId56" display="https://www.zocdoc.com/claim/su-ho-ap"/>
    <hyperlink ref="H58" r:id="rId57" display="https://support.doximity.com/hc/en-us/articles/360047630573-How-to-Register-on-Doximity"/>
    <hyperlink ref="H59" r:id="rId58" display="https://business.fiu.edu/news/2026/claiming-your-business-page-on-review-platforms-can-have-unintended-effects-on-customer-reviews-study-shows.html"/>
    <hyperlink ref="H60" r:id="rId59" display="https://www.nngroup.com/articles/form-design-placeholders/"/>
    <hyperlink ref="H61" r:id="rId60" display="https://baymard.com/blog/checkout-flow-average-form-fields"/>
    <hyperlink ref="H62" r:id="rId61" display="https://www.nngroup.com/articles/wizards/"/>
    <hyperlink ref="H63" r:id="rId62" display="https://baymard.com/research-articles/inline-form-validation"/>
    <hyperlink ref="H64" r:id="rId63" display="https://baymard.com/blog/adaptive-validation-error-messages"/>
    <hyperlink ref="H65" r:id="rId64" display="https://www.w3.org/WAI/WCAG22/Understanding/accessible-authentication-minimum.html"/>
    <hyperlink ref="H66" r:id="rId65" display="https://growth.design/case-studies/sniper-link"/>
    <hyperlink ref="H67" r:id="rId66" display="https://baymard.com/research-articles/mobile-touch-keyboards"/>
    <hyperlink ref="H68" r:id="rId67" display="https://www.nngroup.com/articles/login-walls/"/>
    <hyperlink ref="H69" r:id="rId68" display="https://doc.wikimedia.org/codex/main/style-guide/bidirectionality.html"/>
    <hyperlink ref="H70" r:id="rId69" display="https://baymard.com/lists/cart-abandonment-rate"/>
    <hyperlink ref="H71" r:id="rId70" display="https://baymard.com/research-articles/office-depot-order-review-experience"/>
    <hyperlink ref="H72" r:id="rId71" display="https://baymard.com/blog/perceived-security-of-payment-form"/>
    <hyperlink ref="H73" r:id="rId72" display="https://baymard.com/research-articles/how-to-format-expiration-date-fields"/>
    <hyperlink ref="H74" r:id="rId73" display="https://credibility.stanford.edu/guidelines"/>
    <hyperlink ref="H75" r:id="rId74" display="https://timedate.org/time-zones/middle-east"/>
    <hyperlink ref="H76" r:id="rId75" display="https://www.executivetraveller.com/news/uae-switches-weekend-to-saturday-sunday"/>
    <hyperlink ref="H77" r:id="rId76" display="https://www.zocdoc.com/blog/facts/wrong-fit-bookings-lead-quality/"/>
    <hyperlink ref="H78" r:id="rId77" display="https://telehealth.hhs.gov/providers/preparing-patients-for-telehealth/obtaining-informed-consent"/>
    <hyperlink ref="H79" r:id="rId78" display="https://www.ama-assn.org/system/files/2020-10/telehealth-implementation-playbook-appendix-i3.pdf"/>
    <hyperlink ref="H80" r:id="rId79" display="https://growth.design/case-studies/godaddy-checkout-ux"/>
    <hyperlink ref="H81" r:id="rId80" display="https://www.checkout.com/docs/payments/payment-methods/mada"/>
    <hyperlink ref="H82" r:id="rId81" display="https://www.checkout.com/docs/payments/payment-methods/mada"/>
    <hyperlink ref="H83" r:id="rId82" display="https://docs.stripe.com/currencies"/>
    <hyperlink ref="H84" r:id="rId83" display="https://www.cms.gov/nosurprises/consumers/understanding-costs-in-advance"/>
    <hyperlink ref="H85" r:id="rId84" display="https://www.zocdoc.com/blog/facts/appointments-cancellations-no-shows/"/>
    <hyperlink ref="H86" r:id="rId85" display="https://healthit.gov/data/data-briefs/individuals-access-and-use-patient-portals-and-smartphone-health-apps-2022"/>
    <hyperlink ref="H87" r:id="rId86" display="https://www.utsouthwestern.edu/newsroom/articles/year-2023/march-medical-test-results-online.html"/>
    <hyperlink ref="H88" r:id="rId87" display="https://medresearch.umich.edu/research-news/ai-healthcare-notification-and-consent-preferences-based-us-national-survey"/>
    <hyperlink ref="H89" r:id="rId88" display="https://www.duanemorris.com/alerts/california_passes_novel_law_governing_generative_ai_healthcare_1224.html"/>
    <hyperlink ref="H90" r:id="rId89" display="https://www.ftc.gov/news-events/news/press-releases/2024/09/ftc-announces-crackdown-deceptive-ai-claims-schemes"/>
    <hyperlink ref="H91" r:id="rId90" display="https://www.cdc.gov/ccindex/pdf/clear-communication-user-guide.pdf"/>
    <hyperlink ref="H92" r:id="rId91" display="https://www.beckershospitalreview.com/healthcare-information-technology/patient-perception-of-health-record-privacy-security-6-findings/"/>
    <hyperlink ref="H93" r:id="rId92" display="https://www.pewresearch.org/science/2023/02/22/60-of-americans-would-be-uncomfortable-with-provider-relying-on-ai-in-their-own-health-care/"/>
    <hyperlink ref="H94" r:id="rId93" display="https://www.hhs.gov/hipaa/for-professionals/privacy/guidance/privacy-practices-for-protected-health-information/index.html"/>
    <hyperlink ref="H95" r:id="rId94" display="https://vivo.weill.cornell.edu/display/pubid30970383"/>
    <hyperlink ref="H96" r:id="rId95" display="https://www.uxtigers.com/post/progress-indicators"/>
    <hyperlink ref="H97" r:id="rId96" display="https://www.qatar.northwestern.edu/news/articles/2019/12-media-use-survey-2019.html"/>
    <hyperlink ref="H98" r:id="rId97" display="https://support.doximity.com/hc/en-us/articles/360047630573-How-to-Register-on-Doximity"/>
    <hyperlink ref="H99" r:id="rId98" display="https://www.aha.org/node/402650"/>
    <hyperlink ref="H100" r:id="rId99" display="https://business.columbia.edu/insights/chazen-global-insights/goal-gradient-hypothesis-resurrected-purchase-acceleration"/>
    <hyperlink ref="H101" r:id="rId100" display="https://www.nngroup.com/articles/ten-usability-heuristics/"/>
    <hyperlink ref="H102" r:id="rId101" display="https://behaviormodel.org/"/>
    <hyperlink ref="H103" r:id="rId102" display="https://verifiable.com/blog/ncqa-primary-source-verification-requirements"/>
    <hyperlink ref="H104" r:id="rId103" display="https://www.abderm.org/media/40431/abms-2010-consumer-survey.pdf"/>
    <hyperlink ref="H105" r:id="rId104" display="https://www.nngroup.com/articles/comparison-tables/"/>
    <hyperlink ref="H106" r:id="rId105" display="https://www.zocdoc.com/about/patientaccess/"/>
    <hyperlink ref="H107" r:id="rId106" display="https://www.nngroup.com/articles/confirmation-dialog/"/>
    <hyperlink ref="H108" r:id="rId107" display="https://verifiable.com/blog/ncqa-primary-source-verification-requirements"/>
    <hyperlink ref="H109" r:id="rId108" display="https://credibility.stanford.edu/guidelines"/>
    <hyperlink ref="H110" r:id="rId109" display="https://www.ajmc.com/view/the-impact-of-1-star-physician-ratings-on-new-patient-volume"/>
    <hyperlink ref="H111" r:id="rId110" display="https://www.ftc.gov/business-guidance/resources/native-advertising-guide-businesses"/>
    <hyperlink ref="H112" r:id="rId111" display="https://www.nngroup.com/articles/progressive-disclosure/"/>
    <hyperlink ref="H113" r:id="rId112" display="https://www.nngroup.com/articles/chatbots/"/>
    <hyperlink ref="H114" r:id="rId113" display="https://www.nngroup.com/articles/chatbots/"/>
    <hyperlink ref="H115" r:id="rId114" display="https://www.jmir.org/2024/1/e56514"/>
    <hyperlink ref="H116" r:id="rId115" display="https://www.jmir.org/2024/1/e56514"/>
    <hyperlink ref="H117" r:id="rId116" display="https://www.nngroup.com/articles/chatbots/"/>
    <hyperlink ref="H118" r:id="rId117" display="https://www.nngroup.com/articles/state-transactional-email/"/>
    <hyperlink ref="H119" r:id="rId118" display="https://www.nngroup.com/articles/state-transactional-email/"/>
    <hyperlink ref="H120" r:id="rId119" display="https://baymard.com/research-articles/office-depot-order-review-experience"/>
    <hyperlink ref="H121" r:id="rId120" display="https://www.w3.org/International/articles/inline-bidi-markup/"/>
    <hyperlink ref="H122" r:id="rId121" display="https://www.nngroup.com/articles/response-times-3-important-limits/"/>
    <hyperlink ref="H123" r:id="rId122" display="https://lawsofux.com/doherty-threshold/"/>
    <hyperlink ref="H124" r:id="rId123" display="https://www.nngroup.com/articles/empty-state-interface-design/"/>
    <hyperlink ref="H125" r:id="rId124" display="https://www.nngroup.com/articles/error-message-guidelines/"/>
    <hyperlink ref="H126" r:id="rId125" display="https://developer.apple.com/design/human-interface-guidelines/right-to-left"/>
    <hyperlink ref="H127" r:id="rId126" display="https://m1.material.io/usability/bidirectionality.html"/>
    <hyperlink ref="H128" r:id="rId127" display="https://www.w3.org/International/articles/inline-bidi-markup/"/>
    <hyperlink ref="H129" r:id="rId128" display="https://developer.apple.com/design/human-interface-guidelines/right-to-left"/>
    <hyperlink ref="H130" r:id="rId129" display="https://thesai.org/Downloads/Volume10No4/Paper_72-Towards_Usability_Guidelines_for_the_Design_of_Effective_Arabic_Websites.pdf"/>
    <hyperlink ref="H131" r:id="rId130" display="https://www.w3.org/TR/alreq/"/>
    <hyperlink ref="H132" r:id="rId131" display="https://www.w3.org/TR/alreq/"/>
    <hyperlink ref="H133" r:id="rId132" display="https://www.freecodecamp.org/news/designing-for-the-arab-user-basic-arabic-ux-for-business-6ff29d4c7c60/"/>
    <hyperlink ref="H134" r:id="rId133" display="https://www.nngroup.com/articles/f-shaped-pattern-reading-web-content/"/>
    <hyperlink ref="H135" r:id="rId134" display="https://arxiv.org/abs/2101.08070"/>
    <hyperlink ref="H136" r:id="rId135" display="https://arxiv.org/abs/2607.24571"/>
    <hyperlink ref="H137" r:id="rId136" display="https://corp.unicode.org/pipermail/cldr-users/2019-April/000918.html"/>
    <hyperlink ref="H138" r:id="rId137" display="https://www.w3.org/TR/alreq/"/>
    <hyperlink ref="H139" r:id="rId138" display="https://gulfnews.com/world/gulf/saudi/saudi-arabia-adopts-gregorian-calendar-use-in-official-dealings-1.99118179"/>
    <hyperlink ref="H140" r:id="rId139" display="https://designsystem.dubai.ae/foundations/usability-guidelines.md"/>
    <hyperlink ref="H141" r:id="rId140" display="https://csa-research.com/Blogs-Events/CSA-in-the-Media/Press-Releases/Consumers-Prefer-their-Own-Language"/>
    <hyperlink ref="H142" r:id="rId141" display="https://thesai.org/Downloads/Volume10No4/Paper_72-Towards_Usability_Guidelines_for_the_Design_of_Effective_Arabic_Websites.pdf"/>
    <hyperlink ref="H143" r:id="rId142" display="https://www.adweek.com/socialtimes/study-northwestern-qatar-whatsapp-middle-east/618962"/>
    <hyperlink ref="H144" r:id="rId143" display="https://www.mdpi.com/2227-9032/12/10/1001"/>
    <hyperlink ref="H145" r:id="rId144" display="https://gs.statcounter.com/os-market-share/mobile/saudi-arabia"/>
    <hyperlink ref="H146" r:id="rId145" display="https://www.sama.gov.sa/en-US/News/Pages/news-1139.aspx"/>
    <hyperlink ref="H148" r:id="rId146" display="https://www.w3.org/WAI/WCAG22/Understanding/contrast-minimum.html"/>
    <hyperlink ref="H149" r:id="rId147" display="https://www.w3.org/WAI/WCAG22/Understanding/target-size-minimum.html"/>
    <hyperlink ref="H150" r:id="rId148" display="https://www.w3.org/WAI/WCAG22/Understanding/focus-not-obscured-minimum.html"/>
    <hyperlink ref="H151" r:id="rId149" display="https://www.w3.org/WAI/WCAG22/Understanding/accessible-authentication-minimum.html"/>
    <hyperlink ref="H152" r:id="rId150" display="https://www.tamimi.com/law-update-articles/the-regulation-and-licensing-of-telemedicine-in-saudi-arabia"/>
    <hyperlink ref="H153" r:id="rId151" display="https://www.kayrouzandassociates.com/insights/licensing-and-data-rules-for-telehealth-providers-in-the-uae"/>
    <hyperlink ref="H154" r:id="rId152" display="https://tamimi.com/law-update-articles/the-federal-law-regulating-the-use-of-information-and-communication-technology-in-the-uae-healthcare-sector"/>
    <hyperlink ref="H155" r:id="rId153" display="https://www.cliffordchance.com/insights/resources/blogs/talking-tech/en/articles/2025/03/doing-business-in-the-middle-east--data-transfers-in-the-uae-and-ksa.html"/>
    <hyperlink ref="H156" r:id="rId154" display="https://neelim.com/blog/telemedicine-licensing-gcc-2026"/>
    <hyperlink ref="H157" r:id="rId155" display="https://www.duanemorris.com/alerts/california_passes_novel_law_governing_generative_ai_healthcare_1224.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6"/>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2026-10-19T17:57:09Z</dcterms:created>
  <dc:creator>openpyxl</dc:creator>
  <dc:description/>
  <dc:language>en-US</dc:language>
  <cp:lastModifiedBy/>
  <dcterms:modified xsi:type="dcterms:W3CDTF">2026-10-19T17:57:09Z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